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ovidiu/Documents/GitHub/dmxnew/Inventory-and-bill-proccesor-main/dataAPI/media/"/>
    </mc:Choice>
  </mc:AlternateContent>
  <xr:revisionPtr revIDLastSave="0" documentId="13_ncr:1_{35BCAE9C-3258-E345-99BD-99FF2490F440}" xr6:coauthVersionLast="47" xr6:coauthVersionMax="47" xr10:uidLastSave="{00000000-0000-0000-0000-000000000000}"/>
  <bookViews>
    <workbookView xWindow="38400" yWindow="1620" windowWidth="33600" windowHeight="18800" xr2:uid="{00000000-000D-0000-FFFF-FFFF00000000}"/>
  </bookViews>
  <sheets>
    <sheet name="VB ROM" sheetId="9" r:id="rId1"/>
  </sheets>
  <definedNames>
    <definedName name="_xlnm.Print_Area" localSheetId="0">'VB ROM'!$A$5:$AS$68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I111" i="9" l="1"/>
  <c r="AJ111" i="9"/>
  <c r="AN111" i="9" s="1"/>
  <c r="AM111" i="9"/>
  <c r="CT109" i="9" s="1"/>
  <c r="AI114" i="9"/>
  <c r="AN114" i="9" s="1"/>
  <c r="AJ114" i="9"/>
  <c r="AM114" i="9"/>
  <c r="AI117" i="9"/>
  <c r="AJ117" i="9"/>
  <c r="AN117" i="9" s="1"/>
  <c r="AM117" i="9"/>
  <c r="AI120" i="9"/>
  <c r="AJ120" i="9"/>
  <c r="AN120" i="9" s="1"/>
  <c r="AM120" i="9"/>
  <c r="AI123" i="9"/>
  <c r="AN123" i="9" s="1"/>
  <c r="AJ123" i="9"/>
  <c r="AM123" i="9"/>
  <c r="AI126" i="9"/>
  <c r="AJ126" i="9"/>
  <c r="AN126" i="9" s="1"/>
  <c r="AM126" i="9"/>
  <c r="AI129" i="9"/>
  <c r="AJ129" i="9"/>
  <c r="AN129" i="9" s="1"/>
  <c r="AM129" i="9"/>
  <c r="AI132" i="9"/>
  <c r="AN132" i="9" s="1"/>
  <c r="AJ132" i="9"/>
  <c r="AM132" i="9"/>
  <c r="AI135" i="9"/>
  <c r="AJ135" i="9"/>
  <c r="AN135" i="9" s="1"/>
  <c r="AM135" i="9"/>
  <c r="AI138" i="9"/>
  <c r="AJ138" i="9"/>
  <c r="AN138" i="9" s="1"/>
  <c r="AM138" i="9"/>
  <c r="AI141" i="9"/>
  <c r="AN141" i="9" s="1"/>
  <c r="AJ141" i="9"/>
  <c r="AM141" i="9"/>
  <c r="AI144" i="9"/>
  <c r="AJ144" i="9"/>
  <c r="AN144" i="9" s="1"/>
  <c r="AM144" i="9"/>
  <c r="AI147" i="9"/>
  <c r="AJ147" i="9"/>
  <c r="AN147" i="9" s="1"/>
  <c r="AM147" i="9"/>
  <c r="AI150" i="9"/>
  <c r="AN150" i="9" s="1"/>
  <c r="AJ150" i="9"/>
  <c r="AM150" i="9"/>
  <c r="AI153" i="9"/>
  <c r="AJ153" i="9"/>
  <c r="AN153" i="9" s="1"/>
  <c r="AM153" i="9"/>
  <c r="AI156" i="9"/>
  <c r="AJ156" i="9"/>
  <c r="AN156" i="9" s="1"/>
  <c r="AM156" i="9"/>
  <c r="AI159" i="9"/>
  <c r="AN159" i="9" s="1"/>
  <c r="AJ159" i="9"/>
  <c r="AM159" i="9"/>
  <c r="AI162" i="9"/>
  <c r="AJ162" i="9"/>
  <c r="AN162" i="9" s="1"/>
  <c r="AM162" i="9"/>
  <c r="AI165" i="9"/>
  <c r="AJ165" i="9"/>
  <c r="AN165" i="9" s="1"/>
  <c r="AM165" i="9"/>
  <c r="AI168" i="9"/>
  <c r="AN168" i="9" s="1"/>
  <c r="AJ168" i="9"/>
  <c r="AM168" i="9"/>
  <c r="AI171" i="9"/>
  <c r="AJ171" i="9"/>
  <c r="AN171" i="9" s="1"/>
  <c r="AM171" i="9"/>
  <c r="AI174" i="9"/>
  <c r="AJ174" i="9"/>
  <c r="AN174" i="9" s="1"/>
  <c r="AM174" i="9"/>
  <c r="AI177" i="9"/>
  <c r="AN177" i="9" s="1"/>
  <c r="AJ177" i="9"/>
  <c r="AM177" i="9"/>
  <c r="AI180" i="9"/>
  <c r="AJ180" i="9"/>
  <c r="AN180" i="9" s="1"/>
  <c r="AM180" i="9"/>
  <c r="AI183" i="9"/>
  <c r="AJ183" i="9"/>
  <c r="AN183" i="9" s="1"/>
  <c r="AM183" i="9"/>
  <c r="AI186" i="9"/>
  <c r="AN186" i="9" s="1"/>
  <c r="AJ186" i="9"/>
  <c r="AM186" i="9"/>
  <c r="AI189" i="9"/>
  <c r="AJ189" i="9"/>
  <c r="AN189" i="9" s="1"/>
  <c r="AM189" i="9"/>
  <c r="AI192" i="9"/>
  <c r="AJ192" i="9"/>
  <c r="AN192" i="9" s="1"/>
  <c r="AM192" i="9"/>
  <c r="AI195" i="9"/>
  <c r="AN195" i="9" s="1"/>
  <c r="AJ195" i="9"/>
  <c r="AM195" i="9"/>
  <c r="AI198" i="9"/>
  <c r="AJ198" i="9"/>
  <c r="AN198" i="9" s="1"/>
  <c r="AM198" i="9"/>
  <c r="AI201" i="9"/>
  <c r="AJ201" i="9"/>
  <c r="AN201" i="9" s="1"/>
  <c r="AM201" i="9"/>
  <c r="AI204" i="9"/>
  <c r="AN204" i="9" s="1"/>
  <c r="AJ204" i="9"/>
  <c r="AM204" i="9"/>
  <c r="AI207" i="9"/>
  <c r="AJ207" i="9"/>
  <c r="AN207" i="9" s="1"/>
  <c r="AM207" i="9"/>
  <c r="AI210" i="9"/>
  <c r="AJ210" i="9"/>
  <c r="AN210" i="9" s="1"/>
  <c r="AM210" i="9"/>
  <c r="AV5" i="9"/>
  <c r="AV4" i="9"/>
  <c r="AV3" i="9"/>
  <c r="AV2" i="9"/>
  <c r="AQ4" i="9"/>
  <c r="AQ2" i="9"/>
  <c r="CQ10" i="9"/>
  <c r="CQ11" i="9"/>
  <c r="CQ12" i="9"/>
  <c r="CQ13" i="9"/>
  <c r="CQ14" i="9"/>
  <c r="CQ15" i="9"/>
  <c r="CQ16" i="9"/>
  <c r="CQ17" i="9"/>
  <c r="CQ18" i="9"/>
  <c r="CQ19" i="9"/>
  <c r="CQ20" i="9"/>
  <c r="CQ21" i="9"/>
  <c r="CQ22" i="9"/>
  <c r="CQ23" i="9"/>
  <c r="CQ24" i="9"/>
  <c r="CQ25" i="9"/>
  <c r="CQ26" i="9"/>
  <c r="CQ27" i="9"/>
  <c r="CQ28" i="9"/>
  <c r="CQ29" i="9"/>
  <c r="CQ30" i="9"/>
  <c r="CQ31" i="9"/>
  <c r="CQ32" i="9"/>
  <c r="CQ33" i="9"/>
  <c r="CQ34" i="9"/>
  <c r="CQ35" i="9"/>
  <c r="CQ36" i="9"/>
  <c r="CQ37" i="9"/>
  <c r="CQ38" i="9"/>
  <c r="CQ39" i="9"/>
  <c r="CQ40" i="9"/>
  <c r="CQ41" i="9"/>
  <c r="CQ42" i="9"/>
  <c r="CQ43" i="9"/>
  <c r="CQ44" i="9"/>
  <c r="CQ45" i="9"/>
  <c r="CQ46" i="9"/>
  <c r="CQ47" i="9"/>
  <c r="CQ48" i="9"/>
  <c r="CQ49" i="9"/>
  <c r="CQ50" i="9"/>
  <c r="CQ51" i="9"/>
  <c r="CQ52" i="9"/>
  <c r="CQ53" i="9"/>
  <c r="CQ54" i="9"/>
  <c r="CQ55" i="9"/>
  <c r="CQ56" i="9"/>
  <c r="CQ57" i="9"/>
  <c r="CQ58" i="9"/>
  <c r="CQ59" i="9"/>
  <c r="CQ60" i="9"/>
  <c r="CQ61" i="9"/>
  <c r="CQ62" i="9"/>
  <c r="CQ63" i="9"/>
  <c r="CQ64" i="9"/>
  <c r="CQ65" i="9"/>
  <c r="CQ66" i="9"/>
  <c r="CQ67" i="9"/>
  <c r="CQ68" i="9"/>
  <c r="CQ69" i="9"/>
  <c r="CQ70" i="9"/>
  <c r="CQ71" i="9"/>
  <c r="CQ72" i="9"/>
  <c r="CQ73" i="9"/>
  <c r="CQ74" i="9"/>
  <c r="CQ75" i="9"/>
  <c r="CQ76" i="9"/>
  <c r="CQ77" i="9"/>
  <c r="CQ78" i="9"/>
  <c r="CQ79" i="9"/>
  <c r="CQ80" i="9"/>
  <c r="CQ81" i="9"/>
  <c r="CQ82" i="9"/>
  <c r="CQ83" i="9"/>
  <c r="CQ84" i="9"/>
  <c r="CQ85" i="9"/>
  <c r="CQ86" i="9"/>
  <c r="CQ87" i="9"/>
  <c r="CQ88" i="9"/>
  <c r="CQ89" i="9"/>
  <c r="CQ90" i="9"/>
  <c r="CQ91" i="9"/>
  <c r="CQ92" i="9"/>
  <c r="CQ93" i="9"/>
  <c r="CQ94" i="9"/>
  <c r="CQ95" i="9"/>
  <c r="CQ96" i="9"/>
  <c r="CQ97" i="9"/>
  <c r="CQ98" i="9"/>
  <c r="CQ99" i="9"/>
  <c r="CQ100" i="9"/>
  <c r="CQ101" i="9"/>
  <c r="CQ102" i="9"/>
  <c r="CQ103" i="9"/>
  <c r="CQ104" i="9"/>
  <c r="CQ105" i="9"/>
  <c r="CQ106" i="9"/>
  <c r="CQ107" i="9"/>
  <c r="CQ108" i="9"/>
  <c r="CQ9" i="9"/>
  <c r="CO10" i="9"/>
  <c r="CO11" i="9"/>
  <c r="CO12" i="9"/>
  <c r="CO13" i="9"/>
  <c r="CO14" i="9"/>
  <c r="CO15" i="9"/>
  <c r="CO16" i="9"/>
  <c r="CO17" i="9"/>
  <c r="CO18" i="9"/>
  <c r="CO19" i="9"/>
  <c r="CO20" i="9"/>
  <c r="CO21" i="9"/>
  <c r="CO22" i="9"/>
  <c r="CO23" i="9"/>
  <c r="CO24" i="9"/>
  <c r="CO25" i="9"/>
  <c r="CO26" i="9"/>
  <c r="CO27" i="9"/>
  <c r="CO28" i="9"/>
  <c r="CO29" i="9"/>
  <c r="CO30" i="9"/>
  <c r="CO31" i="9"/>
  <c r="CO32" i="9"/>
  <c r="CO33" i="9"/>
  <c r="CO34" i="9"/>
  <c r="CO35" i="9"/>
  <c r="CO36" i="9"/>
  <c r="CO37" i="9"/>
  <c r="CO38" i="9"/>
  <c r="CO39" i="9"/>
  <c r="CO40" i="9"/>
  <c r="CO41" i="9"/>
  <c r="CO42" i="9"/>
  <c r="CO43" i="9"/>
  <c r="CO44" i="9"/>
  <c r="CO45" i="9"/>
  <c r="CO46" i="9"/>
  <c r="CO47" i="9"/>
  <c r="CO48" i="9"/>
  <c r="CO49" i="9"/>
  <c r="CO50" i="9"/>
  <c r="CO51" i="9"/>
  <c r="CO52" i="9"/>
  <c r="CO53" i="9"/>
  <c r="CO54" i="9"/>
  <c r="CO55" i="9"/>
  <c r="CO56" i="9"/>
  <c r="CO57" i="9"/>
  <c r="CO58" i="9"/>
  <c r="CO59" i="9"/>
  <c r="CO60" i="9"/>
  <c r="CO61" i="9"/>
  <c r="CO62" i="9"/>
  <c r="CO63" i="9"/>
  <c r="CO64" i="9"/>
  <c r="CO65" i="9"/>
  <c r="CO66" i="9"/>
  <c r="CO67" i="9"/>
  <c r="CO68" i="9"/>
  <c r="CO69" i="9"/>
  <c r="CO70" i="9"/>
  <c r="CO71" i="9"/>
  <c r="CO72" i="9"/>
  <c r="CO73" i="9"/>
  <c r="CO74" i="9"/>
  <c r="CO75" i="9"/>
  <c r="CO76" i="9"/>
  <c r="CO77" i="9"/>
  <c r="CO78" i="9"/>
  <c r="CO79" i="9"/>
  <c r="CO80" i="9"/>
  <c r="CO81" i="9"/>
  <c r="CO82" i="9"/>
  <c r="CO83" i="9"/>
  <c r="CO84" i="9"/>
  <c r="CO85" i="9"/>
  <c r="CO86" i="9"/>
  <c r="CO87" i="9"/>
  <c r="CO88" i="9"/>
  <c r="CO89" i="9"/>
  <c r="CO90" i="9"/>
  <c r="CO91" i="9"/>
  <c r="CO92" i="9"/>
  <c r="CO93" i="9"/>
  <c r="CO94" i="9"/>
  <c r="CO95" i="9"/>
  <c r="CO96" i="9"/>
  <c r="CO97" i="9"/>
  <c r="CO98" i="9"/>
  <c r="CO99" i="9"/>
  <c r="CO100" i="9"/>
  <c r="CO101" i="9"/>
  <c r="CO102" i="9"/>
  <c r="CO103" i="9"/>
  <c r="CO104" i="9"/>
  <c r="CO105" i="9"/>
  <c r="CO106" i="9"/>
  <c r="CO107" i="9"/>
  <c r="CO108" i="9"/>
  <c r="CO9" i="9"/>
  <c r="CM10" i="9"/>
  <c r="CM11" i="9"/>
  <c r="CM12" i="9"/>
  <c r="CM13" i="9"/>
  <c r="CM14" i="9"/>
  <c r="CM15" i="9"/>
  <c r="CM16" i="9"/>
  <c r="CM17" i="9"/>
  <c r="CM18" i="9"/>
  <c r="CM19" i="9"/>
  <c r="CM20" i="9"/>
  <c r="CM21" i="9"/>
  <c r="CM22" i="9"/>
  <c r="CM23" i="9"/>
  <c r="CM24" i="9"/>
  <c r="CM25" i="9"/>
  <c r="CM26" i="9"/>
  <c r="CM27" i="9"/>
  <c r="CM28" i="9"/>
  <c r="CM29" i="9"/>
  <c r="CM30" i="9"/>
  <c r="CM31" i="9"/>
  <c r="CM32" i="9"/>
  <c r="CM33" i="9"/>
  <c r="CM34" i="9"/>
  <c r="CM35" i="9"/>
  <c r="CM36" i="9"/>
  <c r="CM37" i="9"/>
  <c r="CM38" i="9"/>
  <c r="CM39" i="9"/>
  <c r="CM40" i="9"/>
  <c r="CM41" i="9"/>
  <c r="CM42" i="9"/>
  <c r="CM43" i="9"/>
  <c r="CM44" i="9"/>
  <c r="CM45" i="9"/>
  <c r="CM46" i="9"/>
  <c r="CM47" i="9"/>
  <c r="CM48" i="9"/>
  <c r="CM49" i="9"/>
  <c r="CM50" i="9"/>
  <c r="CM51" i="9"/>
  <c r="CM52" i="9"/>
  <c r="CM53" i="9"/>
  <c r="CM54" i="9"/>
  <c r="CM55" i="9"/>
  <c r="CM56" i="9"/>
  <c r="CM57" i="9"/>
  <c r="CM58" i="9"/>
  <c r="CM59" i="9"/>
  <c r="CM60" i="9"/>
  <c r="CM61" i="9"/>
  <c r="CM62" i="9"/>
  <c r="CM63" i="9"/>
  <c r="CM64" i="9"/>
  <c r="CM65" i="9"/>
  <c r="CM66" i="9"/>
  <c r="CM67" i="9"/>
  <c r="CM68" i="9"/>
  <c r="CM69" i="9"/>
  <c r="CM70" i="9"/>
  <c r="CM71" i="9"/>
  <c r="CM72" i="9"/>
  <c r="CM73" i="9"/>
  <c r="CM74" i="9"/>
  <c r="CM75" i="9"/>
  <c r="CM76" i="9"/>
  <c r="CM77" i="9"/>
  <c r="CM78" i="9"/>
  <c r="CM79" i="9"/>
  <c r="CM80" i="9"/>
  <c r="CM81" i="9"/>
  <c r="CM82" i="9"/>
  <c r="CM83" i="9"/>
  <c r="CM84" i="9"/>
  <c r="CM85" i="9"/>
  <c r="CM86" i="9"/>
  <c r="CM87" i="9"/>
  <c r="CM88" i="9"/>
  <c r="CM89" i="9"/>
  <c r="CM90" i="9"/>
  <c r="CM91" i="9"/>
  <c r="CM92" i="9"/>
  <c r="CM93" i="9"/>
  <c r="CM94" i="9"/>
  <c r="CM95" i="9"/>
  <c r="CM96" i="9"/>
  <c r="CM97" i="9"/>
  <c r="CM98" i="9"/>
  <c r="CM99" i="9"/>
  <c r="CM100" i="9"/>
  <c r="CM101" i="9"/>
  <c r="CM102" i="9"/>
  <c r="CM103" i="9"/>
  <c r="CM104" i="9"/>
  <c r="CM105" i="9"/>
  <c r="CM106" i="9"/>
  <c r="CM107" i="9"/>
  <c r="CM108" i="9"/>
  <c r="CM9" i="9"/>
  <c r="CK10" i="9"/>
  <c r="CK11" i="9"/>
  <c r="CK12" i="9"/>
  <c r="CK13" i="9"/>
  <c r="CK14" i="9"/>
  <c r="CK15" i="9"/>
  <c r="CK16" i="9"/>
  <c r="CK17" i="9"/>
  <c r="CK18" i="9"/>
  <c r="CK19" i="9"/>
  <c r="CK20" i="9"/>
  <c r="CK21" i="9"/>
  <c r="CK22" i="9"/>
  <c r="CK23" i="9"/>
  <c r="CK24" i="9"/>
  <c r="CK25" i="9"/>
  <c r="CK26" i="9"/>
  <c r="CK27" i="9"/>
  <c r="CK28" i="9"/>
  <c r="CK29" i="9"/>
  <c r="CK30" i="9"/>
  <c r="CK31" i="9"/>
  <c r="CK32" i="9"/>
  <c r="CK33" i="9"/>
  <c r="CK34" i="9"/>
  <c r="CK35" i="9"/>
  <c r="CK36" i="9"/>
  <c r="CK37" i="9"/>
  <c r="CK38" i="9"/>
  <c r="CK39" i="9"/>
  <c r="CK40" i="9"/>
  <c r="CK41" i="9"/>
  <c r="CK42" i="9"/>
  <c r="CK43" i="9"/>
  <c r="CK44" i="9"/>
  <c r="CK45" i="9"/>
  <c r="CK46" i="9"/>
  <c r="CK47" i="9"/>
  <c r="CK48" i="9"/>
  <c r="CK49" i="9"/>
  <c r="CK50" i="9"/>
  <c r="CK51" i="9"/>
  <c r="CK52" i="9"/>
  <c r="CK53" i="9"/>
  <c r="CK54" i="9"/>
  <c r="CK55" i="9"/>
  <c r="CK56" i="9"/>
  <c r="CK57" i="9"/>
  <c r="CK58" i="9"/>
  <c r="CK59" i="9"/>
  <c r="CK60" i="9"/>
  <c r="CK61" i="9"/>
  <c r="CK62" i="9"/>
  <c r="CK63" i="9"/>
  <c r="CK64" i="9"/>
  <c r="CK65" i="9"/>
  <c r="CK66" i="9"/>
  <c r="CK67" i="9"/>
  <c r="CK68" i="9"/>
  <c r="CK69" i="9"/>
  <c r="CK70" i="9"/>
  <c r="CK71" i="9"/>
  <c r="CK72" i="9"/>
  <c r="CK73" i="9"/>
  <c r="CK74" i="9"/>
  <c r="CK75" i="9"/>
  <c r="CK76" i="9"/>
  <c r="CK77" i="9"/>
  <c r="CK78" i="9"/>
  <c r="CK79" i="9"/>
  <c r="CK80" i="9"/>
  <c r="CK81" i="9"/>
  <c r="CK82" i="9"/>
  <c r="CK83" i="9"/>
  <c r="CK84" i="9"/>
  <c r="CK85" i="9"/>
  <c r="CK86" i="9"/>
  <c r="CK87" i="9"/>
  <c r="CK88" i="9"/>
  <c r="CK89" i="9"/>
  <c r="CK90" i="9"/>
  <c r="CK91" i="9"/>
  <c r="CK92" i="9"/>
  <c r="CK93" i="9"/>
  <c r="CK94" i="9"/>
  <c r="CK95" i="9"/>
  <c r="CK96" i="9"/>
  <c r="CK97" i="9"/>
  <c r="CK98" i="9"/>
  <c r="CK99" i="9"/>
  <c r="CK100" i="9"/>
  <c r="CK101" i="9"/>
  <c r="CK102" i="9"/>
  <c r="CK103" i="9"/>
  <c r="CK104" i="9"/>
  <c r="CK105" i="9"/>
  <c r="CK106" i="9"/>
  <c r="CK107" i="9"/>
  <c r="CK108" i="9"/>
  <c r="CK9" i="9"/>
  <c r="CI10" i="9"/>
  <c r="CI11" i="9"/>
  <c r="CI12" i="9"/>
  <c r="CI13" i="9"/>
  <c r="CI14" i="9"/>
  <c r="CI15" i="9"/>
  <c r="CI16" i="9"/>
  <c r="CI17" i="9"/>
  <c r="CI18" i="9"/>
  <c r="CI19" i="9"/>
  <c r="CI20" i="9"/>
  <c r="CI21" i="9"/>
  <c r="CI22" i="9"/>
  <c r="CI23" i="9"/>
  <c r="CI24" i="9"/>
  <c r="CI25" i="9"/>
  <c r="CI26" i="9"/>
  <c r="CI27" i="9"/>
  <c r="CI28" i="9"/>
  <c r="CI29" i="9"/>
  <c r="CI30" i="9"/>
  <c r="CI31" i="9"/>
  <c r="CI32" i="9"/>
  <c r="CI33" i="9"/>
  <c r="CI34" i="9"/>
  <c r="CI35" i="9"/>
  <c r="CI36" i="9"/>
  <c r="CI37" i="9"/>
  <c r="CI38" i="9"/>
  <c r="CI39" i="9"/>
  <c r="CI40" i="9"/>
  <c r="CI41" i="9"/>
  <c r="CI42" i="9"/>
  <c r="CI43" i="9"/>
  <c r="CI44" i="9"/>
  <c r="CI45" i="9"/>
  <c r="CI46" i="9"/>
  <c r="CI47" i="9"/>
  <c r="CI48" i="9"/>
  <c r="CI49" i="9"/>
  <c r="CI50" i="9"/>
  <c r="CI51" i="9"/>
  <c r="CI52" i="9"/>
  <c r="CI53" i="9"/>
  <c r="CI54" i="9"/>
  <c r="CI55" i="9"/>
  <c r="CI56" i="9"/>
  <c r="CI57" i="9"/>
  <c r="CI58" i="9"/>
  <c r="CI59" i="9"/>
  <c r="CI60" i="9"/>
  <c r="CI61" i="9"/>
  <c r="CI62" i="9"/>
  <c r="CI63" i="9"/>
  <c r="CI64" i="9"/>
  <c r="CI65" i="9"/>
  <c r="CI66" i="9"/>
  <c r="CI67" i="9"/>
  <c r="CI68" i="9"/>
  <c r="CI69" i="9"/>
  <c r="CI70" i="9"/>
  <c r="CI71" i="9"/>
  <c r="CI72" i="9"/>
  <c r="CI73" i="9"/>
  <c r="CI74" i="9"/>
  <c r="CI75" i="9"/>
  <c r="CI76" i="9"/>
  <c r="CI77" i="9"/>
  <c r="CI78" i="9"/>
  <c r="CI79" i="9"/>
  <c r="CI80" i="9"/>
  <c r="CI81" i="9"/>
  <c r="CI82" i="9"/>
  <c r="CI83" i="9"/>
  <c r="CI84" i="9"/>
  <c r="CI85" i="9"/>
  <c r="CI86" i="9"/>
  <c r="CI87" i="9"/>
  <c r="CI88" i="9"/>
  <c r="CI89" i="9"/>
  <c r="CI90" i="9"/>
  <c r="CI91" i="9"/>
  <c r="CI92" i="9"/>
  <c r="CI93" i="9"/>
  <c r="CI94" i="9"/>
  <c r="CI95" i="9"/>
  <c r="CI96" i="9"/>
  <c r="CI97" i="9"/>
  <c r="CI98" i="9"/>
  <c r="CI99" i="9"/>
  <c r="CI100" i="9"/>
  <c r="CI101" i="9"/>
  <c r="CI102" i="9"/>
  <c r="CI103" i="9"/>
  <c r="CI104" i="9"/>
  <c r="CI105" i="9"/>
  <c r="CI106" i="9"/>
  <c r="CI107" i="9"/>
  <c r="CI108" i="9"/>
  <c r="CI109" i="9"/>
  <c r="CI110" i="9"/>
  <c r="CI9" i="9"/>
  <c r="CG10" i="9"/>
  <c r="CG11" i="9"/>
  <c r="CG12" i="9"/>
  <c r="CG13" i="9"/>
  <c r="CG14" i="9"/>
  <c r="CG15" i="9"/>
  <c r="CG16" i="9"/>
  <c r="CG17" i="9"/>
  <c r="CG18" i="9"/>
  <c r="CG19" i="9"/>
  <c r="CG20" i="9"/>
  <c r="CG21" i="9"/>
  <c r="CG22" i="9"/>
  <c r="CG23" i="9"/>
  <c r="CG24" i="9"/>
  <c r="CG25" i="9"/>
  <c r="CG26" i="9"/>
  <c r="CG27" i="9"/>
  <c r="CG28" i="9"/>
  <c r="CG29" i="9"/>
  <c r="CG30" i="9"/>
  <c r="CG31" i="9"/>
  <c r="CG32" i="9"/>
  <c r="CG33" i="9"/>
  <c r="CG34" i="9"/>
  <c r="CG35" i="9"/>
  <c r="CG36" i="9"/>
  <c r="CG37" i="9"/>
  <c r="CG38" i="9"/>
  <c r="CG39" i="9"/>
  <c r="CG40" i="9"/>
  <c r="CG41" i="9"/>
  <c r="CG42" i="9"/>
  <c r="CG43" i="9"/>
  <c r="CG44" i="9"/>
  <c r="CG45" i="9"/>
  <c r="CG46" i="9"/>
  <c r="CG47" i="9"/>
  <c r="CG48" i="9"/>
  <c r="CG49" i="9"/>
  <c r="CG50" i="9"/>
  <c r="CG51" i="9"/>
  <c r="CG52" i="9"/>
  <c r="CG53" i="9"/>
  <c r="CG54" i="9"/>
  <c r="CG55" i="9"/>
  <c r="CG56" i="9"/>
  <c r="CG57" i="9"/>
  <c r="CG58" i="9"/>
  <c r="CG59" i="9"/>
  <c r="CG60" i="9"/>
  <c r="CG61" i="9"/>
  <c r="CG62" i="9"/>
  <c r="CG63" i="9"/>
  <c r="CG64" i="9"/>
  <c r="CG65" i="9"/>
  <c r="CG66" i="9"/>
  <c r="CG67" i="9"/>
  <c r="CG68" i="9"/>
  <c r="CG69" i="9"/>
  <c r="CG70" i="9"/>
  <c r="CG71" i="9"/>
  <c r="CG72" i="9"/>
  <c r="CG73" i="9"/>
  <c r="CG74" i="9"/>
  <c r="CG75" i="9"/>
  <c r="CG76" i="9"/>
  <c r="CG77" i="9"/>
  <c r="CG78" i="9"/>
  <c r="CG79" i="9"/>
  <c r="CG80" i="9"/>
  <c r="CG81" i="9"/>
  <c r="CG82" i="9"/>
  <c r="CG83" i="9"/>
  <c r="CG84" i="9"/>
  <c r="CG85" i="9"/>
  <c r="CG86" i="9"/>
  <c r="CG87" i="9"/>
  <c r="CG88" i="9"/>
  <c r="CG89" i="9"/>
  <c r="CG90" i="9"/>
  <c r="CG91" i="9"/>
  <c r="CG92" i="9"/>
  <c r="CG93" i="9"/>
  <c r="CG94" i="9"/>
  <c r="CG95" i="9"/>
  <c r="CG96" i="9"/>
  <c r="CG97" i="9"/>
  <c r="CG98" i="9"/>
  <c r="CG99" i="9"/>
  <c r="CG100" i="9"/>
  <c r="CG101" i="9"/>
  <c r="CG102" i="9"/>
  <c r="CG103" i="9"/>
  <c r="CG104" i="9"/>
  <c r="CG105" i="9"/>
  <c r="CG106" i="9"/>
  <c r="CG107" i="9"/>
  <c r="CG108" i="9"/>
  <c r="CG9" i="9"/>
  <c r="CE10" i="9"/>
  <c r="CE11" i="9"/>
  <c r="CE12" i="9"/>
  <c r="CE13" i="9"/>
  <c r="CE14" i="9"/>
  <c r="CE15" i="9"/>
  <c r="CE16" i="9"/>
  <c r="CE17" i="9"/>
  <c r="CE18" i="9"/>
  <c r="CE19" i="9"/>
  <c r="CE20" i="9"/>
  <c r="CE21" i="9"/>
  <c r="CE22" i="9"/>
  <c r="CE23" i="9"/>
  <c r="CE24" i="9"/>
  <c r="CE25" i="9"/>
  <c r="CE26" i="9"/>
  <c r="CE27" i="9"/>
  <c r="CE28" i="9"/>
  <c r="CE29" i="9"/>
  <c r="CE30" i="9"/>
  <c r="CE31" i="9"/>
  <c r="CE32" i="9"/>
  <c r="CE33" i="9"/>
  <c r="CE34" i="9"/>
  <c r="CE35" i="9"/>
  <c r="CE36" i="9"/>
  <c r="CE37" i="9"/>
  <c r="CE38" i="9"/>
  <c r="CE39" i="9"/>
  <c r="CE40" i="9"/>
  <c r="CE41" i="9"/>
  <c r="CE42" i="9"/>
  <c r="CE43" i="9"/>
  <c r="CE44" i="9"/>
  <c r="CE45" i="9"/>
  <c r="CE46" i="9"/>
  <c r="CE47" i="9"/>
  <c r="CE48" i="9"/>
  <c r="CE49" i="9"/>
  <c r="CE50" i="9"/>
  <c r="CE51" i="9"/>
  <c r="CE52" i="9"/>
  <c r="CE53" i="9"/>
  <c r="CE54" i="9"/>
  <c r="CE55" i="9"/>
  <c r="CE56" i="9"/>
  <c r="CE57" i="9"/>
  <c r="CE58" i="9"/>
  <c r="CE59" i="9"/>
  <c r="CE60" i="9"/>
  <c r="CE61" i="9"/>
  <c r="CE62" i="9"/>
  <c r="CE63" i="9"/>
  <c r="CE64" i="9"/>
  <c r="CE65" i="9"/>
  <c r="CE66" i="9"/>
  <c r="CE67" i="9"/>
  <c r="CE68" i="9"/>
  <c r="CE69" i="9"/>
  <c r="CE70" i="9"/>
  <c r="CE71" i="9"/>
  <c r="CE72" i="9"/>
  <c r="CE73" i="9"/>
  <c r="CE74" i="9"/>
  <c r="CE75" i="9"/>
  <c r="CE76" i="9"/>
  <c r="CE77" i="9"/>
  <c r="CE78" i="9"/>
  <c r="CE79" i="9"/>
  <c r="CE80" i="9"/>
  <c r="CE81" i="9"/>
  <c r="CE82" i="9"/>
  <c r="CE83" i="9"/>
  <c r="CE84" i="9"/>
  <c r="CE85" i="9"/>
  <c r="CE86" i="9"/>
  <c r="CE87" i="9"/>
  <c r="CE88" i="9"/>
  <c r="CE89" i="9"/>
  <c r="CE90" i="9"/>
  <c r="CE91" i="9"/>
  <c r="CE92" i="9"/>
  <c r="CE93" i="9"/>
  <c r="CE94" i="9"/>
  <c r="CE95" i="9"/>
  <c r="CE96" i="9"/>
  <c r="CE97" i="9"/>
  <c r="CE98" i="9"/>
  <c r="CE99" i="9"/>
  <c r="CE100" i="9"/>
  <c r="CE101" i="9"/>
  <c r="CE102" i="9"/>
  <c r="CE103" i="9"/>
  <c r="CE104" i="9"/>
  <c r="CE105" i="9"/>
  <c r="CE106" i="9"/>
  <c r="CE107" i="9"/>
  <c r="CE108" i="9"/>
  <c r="CE110" i="9"/>
  <c r="CE9" i="9"/>
  <c r="CY9" i="9"/>
  <c r="CX9" i="9"/>
  <c r="CW9" i="9"/>
  <c r="CV9" i="9"/>
  <c r="CU9" i="9"/>
  <c r="CS9" i="9"/>
  <c r="CP10" i="9"/>
  <c r="CP11" i="9"/>
  <c r="CP12" i="9"/>
  <c r="CP13" i="9"/>
  <c r="CP14" i="9"/>
  <c r="CP15" i="9"/>
  <c r="CP16" i="9"/>
  <c r="CP17" i="9"/>
  <c r="CP18" i="9"/>
  <c r="CP19" i="9"/>
  <c r="CP20" i="9"/>
  <c r="CP21" i="9"/>
  <c r="CP22" i="9"/>
  <c r="CP23" i="9"/>
  <c r="CP24" i="9"/>
  <c r="CP25" i="9"/>
  <c r="CP26" i="9"/>
  <c r="CP27" i="9"/>
  <c r="CP28" i="9"/>
  <c r="CP29" i="9"/>
  <c r="CP30" i="9"/>
  <c r="CP31" i="9"/>
  <c r="CP32" i="9"/>
  <c r="CP33" i="9"/>
  <c r="CP34" i="9"/>
  <c r="CP35" i="9"/>
  <c r="CP36" i="9"/>
  <c r="CP37" i="9"/>
  <c r="CP38" i="9"/>
  <c r="CP39" i="9"/>
  <c r="CP40" i="9"/>
  <c r="CP41" i="9"/>
  <c r="CP42" i="9"/>
  <c r="CP43" i="9"/>
  <c r="CP44" i="9"/>
  <c r="CP45" i="9"/>
  <c r="CP46" i="9"/>
  <c r="CP47" i="9"/>
  <c r="CP48" i="9"/>
  <c r="CP49" i="9"/>
  <c r="CP50" i="9"/>
  <c r="CP51" i="9"/>
  <c r="CP52" i="9"/>
  <c r="CP53" i="9"/>
  <c r="CP54" i="9"/>
  <c r="CP55" i="9"/>
  <c r="CP56" i="9"/>
  <c r="CP57" i="9"/>
  <c r="CP58" i="9"/>
  <c r="CP59" i="9"/>
  <c r="CP60" i="9"/>
  <c r="CP61" i="9"/>
  <c r="CP62" i="9"/>
  <c r="CP63" i="9"/>
  <c r="CP64" i="9"/>
  <c r="CP65" i="9"/>
  <c r="CP66" i="9"/>
  <c r="CP67" i="9"/>
  <c r="CP68" i="9"/>
  <c r="CP69" i="9"/>
  <c r="CP70" i="9"/>
  <c r="CP71" i="9"/>
  <c r="CP72" i="9"/>
  <c r="CP73" i="9"/>
  <c r="CP74" i="9"/>
  <c r="CP75" i="9"/>
  <c r="CP76" i="9"/>
  <c r="CP77" i="9"/>
  <c r="CP78" i="9"/>
  <c r="CP79" i="9"/>
  <c r="CP80" i="9"/>
  <c r="CP81" i="9"/>
  <c r="CP82" i="9"/>
  <c r="CP83" i="9"/>
  <c r="CP84" i="9"/>
  <c r="CP85" i="9"/>
  <c r="CP86" i="9"/>
  <c r="CP87" i="9"/>
  <c r="CP88" i="9"/>
  <c r="CP89" i="9"/>
  <c r="CP90" i="9"/>
  <c r="CP91" i="9"/>
  <c r="CP92" i="9"/>
  <c r="CP93" i="9"/>
  <c r="CP94" i="9"/>
  <c r="CP95" i="9"/>
  <c r="CP96" i="9"/>
  <c r="CP97" i="9"/>
  <c r="CP98" i="9"/>
  <c r="CP99" i="9"/>
  <c r="CP100" i="9"/>
  <c r="CP101" i="9"/>
  <c r="CP102" i="9"/>
  <c r="CP103" i="9"/>
  <c r="CP104" i="9"/>
  <c r="CP105" i="9"/>
  <c r="CP106" i="9"/>
  <c r="CP107" i="9"/>
  <c r="CP108" i="9"/>
  <c r="CP109" i="9"/>
  <c r="CQ109" i="9" s="1"/>
  <c r="CP110" i="9"/>
  <c r="CQ110" i="9" s="1"/>
  <c r="CP9" i="9"/>
  <c r="CN10" i="9"/>
  <c r="CN11" i="9"/>
  <c r="CN12" i="9"/>
  <c r="CN13" i="9"/>
  <c r="CN14" i="9"/>
  <c r="CN15" i="9"/>
  <c r="CN16" i="9"/>
  <c r="CN17" i="9"/>
  <c r="CN18" i="9"/>
  <c r="CN19" i="9"/>
  <c r="CN20" i="9"/>
  <c r="CN21" i="9"/>
  <c r="CN22" i="9"/>
  <c r="CN23" i="9"/>
  <c r="CN24" i="9"/>
  <c r="CN25" i="9"/>
  <c r="CN26" i="9"/>
  <c r="CN27" i="9"/>
  <c r="CN28" i="9"/>
  <c r="CN29" i="9"/>
  <c r="CN30" i="9"/>
  <c r="CN31" i="9"/>
  <c r="CN32" i="9"/>
  <c r="CN33" i="9"/>
  <c r="CN34" i="9"/>
  <c r="CN35" i="9"/>
  <c r="CN36" i="9"/>
  <c r="CN37" i="9"/>
  <c r="CN38" i="9"/>
  <c r="CN39" i="9"/>
  <c r="CN40" i="9"/>
  <c r="CN41" i="9"/>
  <c r="CN42" i="9"/>
  <c r="CN43" i="9"/>
  <c r="CN44" i="9"/>
  <c r="CN45" i="9"/>
  <c r="CN46" i="9"/>
  <c r="CN47" i="9"/>
  <c r="CN48" i="9"/>
  <c r="CN49" i="9"/>
  <c r="CN50" i="9"/>
  <c r="CN51" i="9"/>
  <c r="CN52" i="9"/>
  <c r="CN53" i="9"/>
  <c r="CN54" i="9"/>
  <c r="CN55" i="9"/>
  <c r="CN56" i="9"/>
  <c r="CN57" i="9"/>
  <c r="CN58" i="9"/>
  <c r="CN59" i="9"/>
  <c r="CN60" i="9"/>
  <c r="CN61" i="9"/>
  <c r="CN62" i="9"/>
  <c r="CN63" i="9"/>
  <c r="CN64" i="9"/>
  <c r="CN65" i="9"/>
  <c r="CN66" i="9"/>
  <c r="CN67" i="9"/>
  <c r="CN68" i="9"/>
  <c r="CN69" i="9"/>
  <c r="CN70" i="9"/>
  <c r="CN71" i="9"/>
  <c r="CN72" i="9"/>
  <c r="CN73" i="9"/>
  <c r="CN74" i="9"/>
  <c r="CN75" i="9"/>
  <c r="CN76" i="9"/>
  <c r="CN77" i="9"/>
  <c r="CN78" i="9"/>
  <c r="CN79" i="9"/>
  <c r="CN80" i="9"/>
  <c r="CN81" i="9"/>
  <c r="CN82" i="9"/>
  <c r="CN83" i="9"/>
  <c r="CN84" i="9"/>
  <c r="CN85" i="9"/>
  <c r="CN86" i="9"/>
  <c r="CN87" i="9"/>
  <c r="CN88" i="9"/>
  <c r="CN89" i="9"/>
  <c r="CN90" i="9"/>
  <c r="CN91" i="9"/>
  <c r="CN92" i="9"/>
  <c r="CN93" i="9"/>
  <c r="CN94" i="9"/>
  <c r="CN95" i="9"/>
  <c r="CN96" i="9"/>
  <c r="CN97" i="9"/>
  <c r="CN98" i="9"/>
  <c r="CN99" i="9"/>
  <c r="CN100" i="9"/>
  <c r="CN101" i="9"/>
  <c r="CN102" i="9"/>
  <c r="CN103" i="9"/>
  <c r="CN104" i="9"/>
  <c r="CN105" i="9"/>
  <c r="CN106" i="9"/>
  <c r="CN107" i="9"/>
  <c r="CN108" i="9"/>
  <c r="CN109" i="9"/>
  <c r="CO109" i="9" s="1"/>
  <c r="CN110" i="9"/>
  <c r="CO110" i="9" s="1"/>
  <c r="CN9" i="9"/>
  <c r="CL10" i="9"/>
  <c r="CL11" i="9"/>
  <c r="CL12" i="9"/>
  <c r="CL13" i="9"/>
  <c r="CL14" i="9"/>
  <c r="CL15" i="9"/>
  <c r="CL16" i="9"/>
  <c r="CL17" i="9"/>
  <c r="CL18" i="9"/>
  <c r="CL19" i="9"/>
  <c r="CL20" i="9"/>
  <c r="CL21" i="9"/>
  <c r="CL22" i="9"/>
  <c r="CL23" i="9"/>
  <c r="CL24" i="9"/>
  <c r="CL25" i="9"/>
  <c r="CL26" i="9"/>
  <c r="CL27" i="9"/>
  <c r="CL28" i="9"/>
  <c r="CL29" i="9"/>
  <c r="CL30" i="9"/>
  <c r="CL31" i="9"/>
  <c r="CL32" i="9"/>
  <c r="CL33" i="9"/>
  <c r="CL34" i="9"/>
  <c r="CL35" i="9"/>
  <c r="CL36" i="9"/>
  <c r="CL37" i="9"/>
  <c r="CL38" i="9"/>
  <c r="CL39" i="9"/>
  <c r="CL40" i="9"/>
  <c r="CL41" i="9"/>
  <c r="CL42" i="9"/>
  <c r="CL43" i="9"/>
  <c r="CL44" i="9"/>
  <c r="CL45" i="9"/>
  <c r="CL46" i="9"/>
  <c r="CL47" i="9"/>
  <c r="CL48" i="9"/>
  <c r="CL49" i="9"/>
  <c r="CL50" i="9"/>
  <c r="CL51" i="9"/>
  <c r="CL52" i="9"/>
  <c r="CL53" i="9"/>
  <c r="CL54" i="9"/>
  <c r="CL55" i="9"/>
  <c r="CL56" i="9"/>
  <c r="CL57" i="9"/>
  <c r="CL58" i="9"/>
  <c r="CL59" i="9"/>
  <c r="CL60" i="9"/>
  <c r="CL61" i="9"/>
  <c r="CL62" i="9"/>
  <c r="CL63" i="9"/>
  <c r="CL64" i="9"/>
  <c r="CL65" i="9"/>
  <c r="CL66" i="9"/>
  <c r="CL67" i="9"/>
  <c r="CL68" i="9"/>
  <c r="CL69" i="9"/>
  <c r="CL70" i="9"/>
  <c r="CL71" i="9"/>
  <c r="CL72" i="9"/>
  <c r="CL73" i="9"/>
  <c r="CL74" i="9"/>
  <c r="CL75" i="9"/>
  <c r="CL76" i="9"/>
  <c r="CL77" i="9"/>
  <c r="CL78" i="9"/>
  <c r="CL79" i="9"/>
  <c r="CL80" i="9"/>
  <c r="CL81" i="9"/>
  <c r="CL82" i="9"/>
  <c r="CL83" i="9"/>
  <c r="CL84" i="9"/>
  <c r="CL85" i="9"/>
  <c r="CL86" i="9"/>
  <c r="CL87" i="9"/>
  <c r="CL88" i="9"/>
  <c r="CL89" i="9"/>
  <c r="CL90" i="9"/>
  <c r="CL91" i="9"/>
  <c r="CL92" i="9"/>
  <c r="CL93" i="9"/>
  <c r="CL94" i="9"/>
  <c r="CL95" i="9"/>
  <c r="CL96" i="9"/>
  <c r="CL97" i="9"/>
  <c r="CL98" i="9"/>
  <c r="CL99" i="9"/>
  <c r="CL100" i="9"/>
  <c r="CL101" i="9"/>
  <c r="CL102" i="9"/>
  <c r="CL103" i="9"/>
  <c r="CL104" i="9"/>
  <c r="CL105" i="9"/>
  <c r="CL106" i="9"/>
  <c r="CL107" i="9"/>
  <c r="CL108" i="9"/>
  <c r="CL109" i="9"/>
  <c r="CM109" i="9" s="1"/>
  <c r="CL110" i="9"/>
  <c r="CM110" i="9" s="1"/>
  <c r="CL9" i="9"/>
  <c r="CJ10" i="9"/>
  <c r="CJ11" i="9"/>
  <c r="CJ12" i="9"/>
  <c r="CJ13" i="9"/>
  <c r="CJ14" i="9"/>
  <c r="CJ15" i="9"/>
  <c r="CJ16" i="9"/>
  <c r="CJ17" i="9"/>
  <c r="CJ18" i="9"/>
  <c r="CJ19" i="9"/>
  <c r="CJ20" i="9"/>
  <c r="CJ21" i="9"/>
  <c r="CJ22" i="9"/>
  <c r="CJ23" i="9"/>
  <c r="CJ24" i="9"/>
  <c r="CJ25" i="9"/>
  <c r="CJ26" i="9"/>
  <c r="CJ27" i="9"/>
  <c r="CJ28" i="9"/>
  <c r="CJ29" i="9"/>
  <c r="CJ30" i="9"/>
  <c r="CJ31" i="9"/>
  <c r="CJ32" i="9"/>
  <c r="CJ33" i="9"/>
  <c r="CJ34" i="9"/>
  <c r="CJ35" i="9"/>
  <c r="CJ36" i="9"/>
  <c r="CJ37" i="9"/>
  <c r="CJ38" i="9"/>
  <c r="CJ39" i="9"/>
  <c r="CJ40" i="9"/>
  <c r="CJ41" i="9"/>
  <c r="CJ42" i="9"/>
  <c r="CJ43" i="9"/>
  <c r="CJ44" i="9"/>
  <c r="CJ45" i="9"/>
  <c r="CJ46" i="9"/>
  <c r="CJ47" i="9"/>
  <c r="CJ48" i="9"/>
  <c r="CJ49" i="9"/>
  <c r="CJ50" i="9"/>
  <c r="CJ51" i="9"/>
  <c r="CJ52" i="9"/>
  <c r="CJ53" i="9"/>
  <c r="CJ54" i="9"/>
  <c r="CJ55" i="9"/>
  <c r="CJ56" i="9"/>
  <c r="CJ57" i="9"/>
  <c r="CJ58" i="9"/>
  <c r="CJ59" i="9"/>
  <c r="CJ60" i="9"/>
  <c r="CJ61" i="9"/>
  <c r="CJ62" i="9"/>
  <c r="CJ63" i="9"/>
  <c r="CJ64" i="9"/>
  <c r="CJ65" i="9"/>
  <c r="CJ66" i="9"/>
  <c r="CJ67" i="9"/>
  <c r="CJ68" i="9"/>
  <c r="CJ69" i="9"/>
  <c r="CJ70" i="9"/>
  <c r="CJ71" i="9"/>
  <c r="CJ72" i="9"/>
  <c r="CJ73" i="9"/>
  <c r="CJ74" i="9"/>
  <c r="CJ75" i="9"/>
  <c r="CJ76" i="9"/>
  <c r="CJ77" i="9"/>
  <c r="CJ78" i="9"/>
  <c r="CJ79" i="9"/>
  <c r="CJ80" i="9"/>
  <c r="CJ81" i="9"/>
  <c r="CJ82" i="9"/>
  <c r="CJ83" i="9"/>
  <c r="CJ84" i="9"/>
  <c r="CJ85" i="9"/>
  <c r="CJ86" i="9"/>
  <c r="CJ87" i="9"/>
  <c r="CJ88" i="9"/>
  <c r="CJ89" i="9"/>
  <c r="CJ90" i="9"/>
  <c r="CJ91" i="9"/>
  <c r="CJ92" i="9"/>
  <c r="CJ93" i="9"/>
  <c r="CJ94" i="9"/>
  <c r="CJ95" i="9"/>
  <c r="CJ96" i="9"/>
  <c r="CJ97" i="9"/>
  <c r="CJ98" i="9"/>
  <c r="CJ99" i="9"/>
  <c r="CJ100" i="9"/>
  <c r="CJ101" i="9"/>
  <c r="CJ102" i="9"/>
  <c r="CJ103" i="9"/>
  <c r="CJ104" i="9"/>
  <c r="CJ105" i="9"/>
  <c r="CJ106" i="9"/>
  <c r="CJ107" i="9"/>
  <c r="CJ108" i="9"/>
  <c r="CJ109" i="9"/>
  <c r="CK109" i="9" s="1"/>
  <c r="CJ110" i="9"/>
  <c r="CK110" i="9" s="1"/>
  <c r="CH10" i="9"/>
  <c r="CH11" i="9"/>
  <c r="CH12" i="9"/>
  <c r="CH13" i="9"/>
  <c r="CH14" i="9"/>
  <c r="CH15" i="9"/>
  <c r="CH16" i="9"/>
  <c r="CH17" i="9"/>
  <c r="CH18" i="9"/>
  <c r="CH19" i="9"/>
  <c r="CH20" i="9"/>
  <c r="CH21" i="9"/>
  <c r="CH22" i="9"/>
  <c r="CH23" i="9"/>
  <c r="CH24" i="9"/>
  <c r="CH25" i="9"/>
  <c r="CH26" i="9"/>
  <c r="CH27" i="9"/>
  <c r="CH28" i="9"/>
  <c r="CH29" i="9"/>
  <c r="CH30" i="9"/>
  <c r="CH31" i="9"/>
  <c r="CH32" i="9"/>
  <c r="CH33" i="9"/>
  <c r="CH34" i="9"/>
  <c r="CH35" i="9"/>
  <c r="CH36" i="9"/>
  <c r="CH37" i="9"/>
  <c r="CH38" i="9"/>
  <c r="CH39" i="9"/>
  <c r="CH40" i="9"/>
  <c r="CH41" i="9"/>
  <c r="CH42" i="9"/>
  <c r="CH43" i="9"/>
  <c r="CH44" i="9"/>
  <c r="CH45" i="9"/>
  <c r="CH46" i="9"/>
  <c r="CH47" i="9"/>
  <c r="CH48" i="9"/>
  <c r="CH49" i="9"/>
  <c r="CH50" i="9"/>
  <c r="CH51" i="9"/>
  <c r="CH52" i="9"/>
  <c r="CH53" i="9"/>
  <c r="CH54" i="9"/>
  <c r="CH55" i="9"/>
  <c r="CH56" i="9"/>
  <c r="CH57" i="9"/>
  <c r="CH58" i="9"/>
  <c r="CH59" i="9"/>
  <c r="CH60" i="9"/>
  <c r="CH61" i="9"/>
  <c r="CH62" i="9"/>
  <c r="CH63" i="9"/>
  <c r="CH64" i="9"/>
  <c r="CH65" i="9"/>
  <c r="CH66" i="9"/>
  <c r="CH67" i="9"/>
  <c r="CH68" i="9"/>
  <c r="CH69" i="9"/>
  <c r="CH70" i="9"/>
  <c r="CH71" i="9"/>
  <c r="CH72" i="9"/>
  <c r="CH73" i="9"/>
  <c r="CH74" i="9"/>
  <c r="CH75" i="9"/>
  <c r="CH76" i="9"/>
  <c r="CH77" i="9"/>
  <c r="CH78" i="9"/>
  <c r="CH79" i="9"/>
  <c r="CH80" i="9"/>
  <c r="CH81" i="9"/>
  <c r="CH82" i="9"/>
  <c r="CH83" i="9"/>
  <c r="CH84" i="9"/>
  <c r="CH85" i="9"/>
  <c r="CH86" i="9"/>
  <c r="CH87" i="9"/>
  <c r="CH88" i="9"/>
  <c r="CH89" i="9"/>
  <c r="CH90" i="9"/>
  <c r="CH91" i="9"/>
  <c r="CH92" i="9"/>
  <c r="CH93" i="9"/>
  <c r="CH94" i="9"/>
  <c r="CH95" i="9"/>
  <c r="CH96" i="9"/>
  <c r="CH97" i="9"/>
  <c r="CH98" i="9"/>
  <c r="CH99" i="9"/>
  <c r="CH100" i="9"/>
  <c r="CH101" i="9"/>
  <c r="CH102" i="9"/>
  <c r="CH103" i="9"/>
  <c r="CH104" i="9"/>
  <c r="CH105" i="9"/>
  <c r="CH106" i="9"/>
  <c r="CH107" i="9"/>
  <c r="CH108" i="9"/>
  <c r="CH109" i="9"/>
  <c r="CH110" i="9"/>
  <c r="CD10" i="9"/>
  <c r="CD11" i="9"/>
  <c r="CD12" i="9"/>
  <c r="CD13" i="9"/>
  <c r="CD14" i="9"/>
  <c r="CD15" i="9"/>
  <c r="CD16" i="9"/>
  <c r="CD17" i="9"/>
  <c r="CD18" i="9"/>
  <c r="CD19" i="9"/>
  <c r="CD20" i="9"/>
  <c r="CD21" i="9"/>
  <c r="CD22" i="9"/>
  <c r="CD23" i="9"/>
  <c r="CD24" i="9"/>
  <c r="CD25" i="9"/>
  <c r="CD26" i="9"/>
  <c r="CD27" i="9"/>
  <c r="CD28" i="9"/>
  <c r="CD29" i="9"/>
  <c r="CD30" i="9"/>
  <c r="CD31" i="9"/>
  <c r="CD32" i="9"/>
  <c r="CD33" i="9"/>
  <c r="CD34" i="9"/>
  <c r="CD35" i="9"/>
  <c r="CD36" i="9"/>
  <c r="CD37" i="9"/>
  <c r="CD38" i="9"/>
  <c r="CD39" i="9"/>
  <c r="CD40" i="9"/>
  <c r="CD41" i="9"/>
  <c r="CD42" i="9"/>
  <c r="CD43" i="9"/>
  <c r="CD44" i="9"/>
  <c r="CD45" i="9"/>
  <c r="CD46" i="9"/>
  <c r="CD47" i="9"/>
  <c r="CD48" i="9"/>
  <c r="CD49" i="9"/>
  <c r="CD50" i="9"/>
  <c r="CD51" i="9"/>
  <c r="CD52" i="9"/>
  <c r="CD53" i="9"/>
  <c r="CD54" i="9"/>
  <c r="CD55" i="9"/>
  <c r="CD56" i="9"/>
  <c r="CD57" i="9"/>
  <c r="CD58" i="9"/>
  <c r="CD59" i="9"/>
  <c r="CD60" i="9"/>
  <c r="CD61" i="9"/>
  <c r="CD62" i="9"/>
  <c r="CD63" i="9"/>
  <c r="CD64" i="9"/>
  <c r="CD65" i="9"/>
  <c r="CD66" i="9"/>
  <c r="CD67" i="9"/>
  <c r="CD68" i="9"/>
  <c r="CD69" i="9"/>
  <c r="CD70" i="9"/>
  <c r="CD71" i="9"/>
  <c r="CD72" i="9"/>
  <c r="CD73" i="9"/>
  <c r="CD74" i="9"/>
  <c r="CD75" i="9"/>
  <c r="CD76" i="9"/>
  <c r="CD77" i="9"/>
  <c r="CD78" i="9"/>
  <c r="CD79" i="9"/>
  <c r="CD80" i="9"/>
  <c r="CD81" i="9"/>
  <c r="CD82" i="9"/>
  <c r="CD83" i="9"/>
  <c r="CD84" i="9"/>
  <c r="CD85" i="9"/>
  <c r="CD86" i="9"/>
  <c r="CD87" i="9"/>
  <c r="CD88" i="9"/>
  <c r="CD89" i="9"/>
  <c r="CD90" i="9"/>
  <c r="CD91" i="9"/>
  <c r="CD92" i="9"/>
  <c r="CD93" i="9"/>
  <c r="CD94" i="9"/>
  <c r="CD95" i="9"/>
  <c r="CD96" i="9"/>
  <c r="CD97" i="9"/>
  <c r="CD98" i="9"/>
  <c r="CD99" i="9"/>
  <c r="CD100" i="9"/>
  <c r="CD101" i="9"/>
  <c r="CD102" i="9"/>
  <c r="CD103" i="9"/>
  <c r="CD104" i="9"/>
  <c r="CD105" i="9"/>
  <c r="CD106" i="9"/>
  <c r="CD107" i="9"/>
  <c r="CD108" i="9"/>
  <c r="CD109" i="9"/>
  <c r="CE109" i="9" s="1"/>
  <c r="CD110" i="9"/>
  <c r="CJ9" i="9"/>
  <c r="CH9" i="9"/>
  <c r="CD9" i="9"/>
  <c r="CT9" i="9"/>
  <c r="CF10" i="9"/>
  <c r="CF11" i="9"/>
  <c r="CF12" i="9"/>
  <c r="CF13" i="9"/>
  <c r="CF14" i="9"/>
  <c r="CF15" i="9"/>
  <c r="CF16" i="9"/>
  <c r="CF17" i="9"/>
  <c r="CF18" i="9"/>
  <c r="CF19" i="9"/>
  <c r="CF20" i="9"/>
  <c r="CF21" i="9"/>
  <c r="CF22" i="9"/>
  <c r="CF23" i="9"/>
  <c r="CF24" i="9"/>
  <c r="CF25" i="9"/>
  <c r="CF26" i="9"/>
  <c r="CF27" i="9"/>
  <c r="CF28" i="9"/>
  <c r="CF29" i="9"/>
  <c r="CF30" i="9"/>
  <c r="CF31" i="9"/>
  <c r="CF32" i="9"/>
  <c r="CF33" i="9"/>
  <c r="CF34" i="9"/>
  <c r="CF35" i="9"/>
  <c r="CF36" i="9"/>
  <c r="CF37" i="9"/>
  <c r="CF38" i="9"/>
  <c r="CF39" i="9"/>
  <c r="CF40" i="9"/>
  <c r="CF41" i="9"/>
  <c r="CF42" i="9"/>
  <c r="CF43" i="9"/>
  <c r="CF44" i="9"/>
  <c r="CF45" i="9"/>
  <c r="CF46" i="9"/>
  <c r="CF47" i="9"/>
  <c r="CF48" i="9"/>
  <c r="CF49" i="9"/>
  <c r="CF50" i="9"/>
  <c r="CF51" i="9"/>
  <c r="CF52" i="9"/>
  <c r="CF53" i="9"/>
  <c r="CF54" i="9"/>
  <c r="CF55" i="9"/>
  <c r="CF56" i="9"/>
  <c r="CF57" i="9"/>
  <c r="CF58" i="9"/>
  <c r="CF59" i="9"/>
  <c r="CF60" i="9"/>
  <c r="CF61" i="9"/>
  <c r="CF62" i="9"/>
  <c r="CF63" i="9"/>
  <c r="CF64" i="9"/>
  <c r="CF65" i="9"/>
  <c r="CF66" i="9"/>
  <c r="CF67" i="9"/>
  <c r="CF68" i="9"/>
  <c r="CF69" i="9"/>
  <c r="CF70" i="9"/>
  <c r="CF71" i="9"/>
  <c r="CF72" i="9"/>
  <c r="CF73" i="9"/>
  <c r="CF74" i="9"/>
  <c r="CF75" i="9"/>
  <c r="CF76" i="9"/>
  <c r="CF77" i="9"/>
  <c r="CF78" i="9"/>
  <c r="CF79" i="9"/>
  <c r="CF80" i="9"/>
  <c r="CF81" i="9"/>
  <c r="CF82" i="9"/>
  <c r="CF83" i="9"/>
  <c r="CF84" i="9"/>
  <c r="CF85" i="9"/>
  <c r="CF86" i="9"/>
  <c r="CF87" i="9"/>
  <c r="CF88" i="9"/>
  <c r="CF89" i="9"/>
  <c r="CF90" i="9"/>
  <c r="CF91" i="9"/>
  <c r="CF92" i="9"/>
  <c r="CF93" i="9"/>
  <c r="CF94" i="9"/>
  <c r="CF95" i="9"/>
  <c r="CF96" i="9"/>
  <c r="CF97" i="9"/>
  <c r="CF98" i="9"/>
  <c r="CF99" i="9"/>
  <c r="CF100" i="9"/>
  <c r="CF101" i="9"/>
  <c r="CF102" i="9"/>
  <c r="CF103" i="9"/>
  <c r="CF104" i="9"/>
  <c r="CF105" i="9"/>
  <c r="CF106" i="9"/>
  <c r="CF107" i="9"/>
  <c r="CF108" i="9"/>
  <c r="CF109" i="9"/>
  <c r="CG109" i="9" s="1"/>
  <c r="CF110" i="9"/>
  <c r="CG110" i="9" s="1"/>
  <c r="CF9" i="9"/>
  <c r="CU110" i="9"/>
  <c r="CT110" i="9"/>
  <c r="CS110" i="9"/>
  <c r="CU108" i="9"/>
  <c r="CT108" i="9"/>
  <c r="CS108" i="9"/>
  <c r="CU107" i="9"/>
  <c r="CT107" i="9"/>
  <c r="CS107" i="9"/>
  <c r="CU106" i="9"/>
  <c r="CT106" i="9"/>
  <c r="CS106" i="9"/>
  <c r="CU105" i="9"/>
  <c r="CT105" i="9"/>
  <c r="CS105" i="9"/>
  <c r="CU104" i="9"/>
  <c r="CT104" i="9"/>
  <c r="CS104" i="9"/>
  <c r="CU103" i="9"/>
  <c r="CT103" i="9"/>
  <c r="CS103" i="9"/>
  <c r="CU102" i="9"/>
  <c r="CT102" i="9"/>
  <c r="CS102" i="9"/>
  <c r="CU101" i="9"/>
  <c r="CT101" i="9"/>
  <c r="CS101" i="9"/>
  <c r="CU100" i="9"/>
  <c r="CT100" i="9"/>
  <c r="CS100" i="9"/>
  <c r="CU99" i="9"/>
  <c r="CT99" i="9"/>
  <c r="CS99" i="9"/>
  <c r="CU98" i="9"/>
  <c r="CT98" i="9"/>
  <c r="CS98" i="9"/>
  <c r="CU97" i="9"/>
  <c r="CT97" i="9"/>
  <c r="CS97" i="9"/>
  <c r="CU96" i="9"/>
  <c r="CT96" i="9"/>
  <c r="CS96" i="9"/>
  <c r="CU95" i="9"/>
  <c r="CT95" i="9"/>
  <c r="CS95" i="9"/>
  <c r="CU94" i="9"/>
  <c r="CT94" i="9"/>
  <c r="CS94" i="9"/>
  <c r="CU93" i="9"/>
  <c r="CT93" i="9"/>
  <c r="CS93" i="9"/>
  <c r="CU92" i="9"/>
  <c r="CT92" i="9"/>
  <c r="CS92" i="9"/>
  <c r="CU91" i="9"/>
  <c r="CT91" i="9"/>
  <c r="CS91" i="9"/>
  <c r="CU90" i="9"/>
  <c r="CT90" i="9"/>
  <c r="CS90" i="9"/>
  <c r="CU89" i="9"/>
  <c r="CT89" i="9"/>
  <c r="CS89" i="9"/>
  <c r="CU88" i="9"/>
  <c r="CT88" i="9"/>
  <c r="CS88" i="9"/>
  <c r="CU87" i="9"/>
  <c r="CT87" i="9"/>
  <c r="CS87" i="9"/>
  <c r="CU86" i="9"/>
  <c r="CT86" i="9"/>
  <c r="CS86" i="9"/>
  <c r="CU85" i="9"/>
  <c r="CT85" i="9"/>
  <c r="CS85" i="9"/>
  <c r="CU84" i="9"/>
  <c r="CT84" i="9"/>
  <c r="CS84" i="9"/>
  <c r="CU83" i="9"/>
  <c r="CT83" i="9"/>
  <c r="CS83" i="9"/>
  <c r="CU82" i="9"/>
  <c r="CT82" i="9"/>
  <c r="CS82" i="9"/>
  <c r="CU81" i="9"/>
  <c r="CT81" i="9"/>
  <c r="CS81" i="9"/>
  <c r="CU80" i="9"/>
  <c r="CT80" i="9"/>
  <c r="CS80" i="9"/>
  <c r="CU79" i="9"/>
  <c r="CT79" i="9"/>
  <c r="CS79" i="9"/>
  <c r="CU78" i="9"/>
  <c r="CT78" i="9"/>
  <c r="CS78" i="9"/>
  <c r="CU77" i="9"/>
  <c r="CT77" i="9"/>
  <c r="CS77" i="9"/>
  <c r="CU76" i="9"/>
  <c r="CT76" i="9"/>
  <c r="CS76" i="9"/>
  <c r="CU75" i="9"/>
  <c r="CT75" i="9"/>
  <c r="CS75" i="9"/>
  <c r="CU74" i="9"/>
  <c r="CT74" i="9"/>
  <c r="CS74" i="9"/>
  <c r="CU73" i="9"/>
  <c r="CT73" i="9"/>
  <c r="CS73" i="9"/>
  <c r="CU72" i="9"/>
  <c r="CT72" i="9"/>
  <c r="CS72" i="9"/>
  <c r="CU71" i="9"/>
  <c r="CT71" i="9"/>
  <c r="CS71" i="9"/>
  <c r="CU70" i="9"/>
  <c r="CT70" i="9"/>
  <c r="CS70" i="9"/>
  <c r="CU69" i="9"/>
  <c r="CT69" i="9"/>
  <c r="CS69" i="9"/>
  <c r="CU68" i="9"/>
  <c r="CT68" i="9"/>
  <c r="CS68" i="9"/>
  <c r="CU67" i="9"/>
  <c r="CT67" i="9"/>
  <c r="CS67" i="9"/>
  <c r="CU66" i="9"/>
  <c r="CT66" i="9"/>
  <c r="CS66" i="9"/>
  <c r="CU65" i="9"/>
  <c r="CT65" i="9"/>
  <c r="CS65" i="9"/>
  <c r="CU64" i="9"/>
  <c r="CT64" i="9"/>
  <c r="CS64" i="9"/>
  <c r="CU63" i="9"/>
  <c r="CT63" i="9"/>
  <c r="CS63" i="9"/>
  <c r="CU62" i="9"/>
  <c r="CT62" i="9"/>
  <c r="CS62" i="9"/>
  <c r="CU61" i="9"/>
  <c r="CT61" i="9"/>
  <c r="CS61" i="9"/>
  <c r="CU60" i="9"/>
  <c r="CT60" i="9"/>
  <c r="CS60" i="9"/>
  <c r="CU59" i="9"/>
  <c r="CT59" i="9"/>
  <c r="CS59" i="9"/>
  <c r="CU58" i="9"/>
  <c r="CT58" i="9"/>
  <c r="CS58" i="9"/>
  <c r="CU57" i="9"/>
  <c r="CT57" i="9"/>
  <c r="CS57" i="9"/>
  <c r="CU56" i="9"/>
  <c r="CT56" i="9"/>
  <c r="CS56" i="9"/>
  <c r="CU55" i="9"/>
  <c r="CT55" i="9"/>
  <c r="CS55" i="9"/>
  <c r="CU54" i="9"/>
  <c r="CT54" i="9"/>
  <c r="CS54" i="9"/>
  <c r="CU53" i="9"/>
  <c r="CT53" i="9"/>
  <c r="CS53" i="9"/>
  <c r="CU52" i="9"/>
  <c r="CT52" i="9"/>
  <c r="CS52" i="9"/>
  <c r="CU51" i="9"/>
  <c r="CT51" i="9"/>
  <c r="CS51" i="9"/>
  <c r="CU50" i="9"/>
  <c r="CT50" i="9"/>
  <c r="CS50" i="9"/>
  <c r="CU49" i="9"/>
  <c r="CT49" i="9"/>
  <c r="CS49" i="9"/>
  <c r="CU48" i="9"/>
  <c r="CT48" i="9"/>
  <c r="CS48" i="9"/>
  <c r="CU47" i="9"/>
  <c r="CT47" i="9"/>
  <c r="CS47" i="9"/>
  <c r="CU46" i="9"/>
  <c r="CT46" i="9"/>
  <c r="CS46" i="9"/>
  <c r="CU45" i="9"/>
  <c r="CT45" i="9"/>
  <c r="CS45" i="9"/>
  <c r="CU44" i="9"/>
  <c r="CT44" i="9"/>
  <c r="CS44" i="9"/>
  <c r="CU43" i="9"/>
  <c r="CT43" i="9"/>
  <c r="CS43" i="9"/>
  <c r="CU42" i="9"/>
  <c r="CT42" i="9"/>
  <c r="CS42" i="9"/>
  <c r="CU41" i="9"/>
  <c r="CT41" i="9"/>
  <c r="CS41" i="9"/>
  <c r="CU40" i="9"/>
  <c r="CT40" i="9"/>
  <c r="CS40" i="9"/>
  <c r="CU39" i="9"/>
  <c r="CT39" i="9"/>
  <c r="CS39" i="9"/>
  <c r="CU38" i="9"/>
  <c r="CT38" i="9"/>
  <c r="CS38" i="9"/>
  <c r="CU37" i="9"/>
  <c r="CT37" i="9"/>
  <c r="CS37" i="9"/>
  <c r="CU36" i="9"/>
  <c r="CT36" i="9"/>
  <c r="CS36" i="9"/>
  <c r="CU35" i="9"/>
  <c r="CT35" i="9"/>
  <c r="CS35" i="9"/>
  <c r="CU34" i="9"/>
  <c r="CT34" i="9"/>
  <c r="CS34" i="9"/>
  <c r="CU33" i="9"/>
  <c r="CT33" i="9"/>
  <c r="CS33" i="9"/>
  <c r="CU32" i="9"/>
  <c r="CT32" i="9"/>
  <c r="CS32" i="9"/>
  <c r="CU31" i="9"/>
  <c r="CT31" i="9"/>
  <c r="CS31" i="9"/>
  <c r="CU30" i="9"/>
  <c r="CT30" i="9"/>
  <c r="CS30" i="9"/>
  <c r="CU29" i="9"/>
  <c r="CT29" i="9"/>
  <c r="CS29" i="9"/>
  <c r="CU28" i="9"/>
  <c r="CT28" i="9"/>
  <c r="CS28" i="9"/>
  <c r="CU27" i="9"/>
  <c r="CT27" i="9"/>
  <c r="CS27" i="9"/>
  <c r="CU26" i="9"/>
  <c r="CT26" i="9"/>
  <c r="CS26" i="9"/>
  <c r="CU25" i="9"/>
  <c r="CT25" i="9"/>
  <c r="CS25" i="9"/>
  <c r="CU24" i="9"/>
  <c r="CT24" i="9"/>
  <c r="CS24" i="9"/>
  <c r="CU23" i="9"/>
  <c r="CT23" i="9"/>
  <c r="CS23" i="9"/>
  <c r="CU22" i="9"/>
  <c r="CT22" i="9"/>
  <c r="CS22" i="9"/>
  <c r="CU21" i="9"/>
  <c r="CT21" i="9"/>
  <c r="CS21" i="9"/>
  <c r="CU20" i="9"/>
  <c r="CT20" i="9"/>
  <c r="CS20" i="9"/>
  <c r="CU19" i="9"/>
  <c r="CT19" i="9"/>
  <c r="CS19" i="9"/>
  <c r="CU18" i="9"/>
  <c r="CT18" i="9"/>
  <c r="CS18" i="9"/>
  <c r="CU17" i="9"/>
  <c r="CT17" i="9"/>
  <c r="CS17" i="9"/>
  <c r="CU16" i="9"/>
  <c r="CT16" i="9"/>
  <c r="CS16" i="9"/>
  <c r="CU15" i="9"/>
  <c r="CT15" i="9"/>
  <c r="CS15" i="9"/>
  <c r="CU14" i="9"/>
  <c r="CT14" i="9"/>
  <c r="CS14" i="9"/>
  <c r="CU13" i="9"/>
  <c r="CT13" i="9"/>
  <c r="CS13" i="9"/>
  <c r="CU12" i="9"/>
  <c r="CT12" i="9"/>
  <c r="CS12" i="9"/>
  <c r="CU11" i="9"/>
  <c r="CT11" i="9"/>
  <c r="CS11" i="9"/>
  <c r="CU10" i="9"/>
  <c r="CT10" i="9"/>
  <c r="CS10" i="9"/>
  <c r="AI36" i="9"/>
  <c r="AJ36" i="9"/>
  <c r="AM36" i="9"/>
  <c r="AI39" i="9"/>
  <c r="AJ39" i="9"/>
  <c r="AM39" i="9"/>
  <c r="AN39" i="9" s="1"/>
  <c r="AI42" i="9"/>
  <c r="AJ42" i="9"/>
  <c r="AM42" i="9"/>
  <c r="AN42" i="9"/>
  <c r="AI45" i="9"/>
  <c r="AN45" i="9" s="1"/>
  <c r="AJ45" i="9"/>
  <c r="AM45" i="9"/>
  <c r="AI48" i="9"/>
  <c r="AJ48" i="9"/>
  <c r="AN48" i="9" s="1"/>
  <c r="AM48" i="9"/>
  <c r="AI51" i="9"/>
  <c r="AJ51" i="9"/>
  <c r="AM51" i="9"/>
  <c r="AI54" i="9"/>
  <c r="AJ54" i="9"/>
  <c r="AM54" i="9"/>
  <c r="AI57" i="9"/>
  <c r="AJ57" i="9"/>
  <c r="AM57" i="9"/>
  <c r="AI60" i="9"/>
  <c r="AJ60" i="9"/>
  <c r="AN60" i="9" s="1"/>
  <c r="AM60" i="9"/>
  <c r="AI63" i="9"/>
  <c r="AJ63" i="9"/>
  <c r="AM63" i="9"/>
  <c r="AI66" i="9"/>
  <c r="AJ66" i="9"/>
  <c r="AM66" i="9"/>
  <c r="AI9" i="9"/>
  <c r="AJ9" i="9"/>
  <c r="AM9" i="9"/>
  <c r="AI12" i="9"/>
  <c r="AJ12" i="9"/>
  <c r="AM12" i="9"/>
  <c r="AI15" i="9"/>
  <c r="AJ15" i="9"/>
  <c r="AM15" i="9"/>
  <c r="AI18" i="9"/>
  <c r="AJ18" i="9"/>
  <c r="AM18" i="9"/>
  <c r="AI21" i="9"/>
  <c r="AJ21" i="9"/>
  <c r="AM21" i="9"/>
  <c r="AI24" i="9"/>
  <c r="AJ24" i="9"/>
  <c r="AM24" i="9"/>
  <c r="AI27" i="9"/>
  <c r="AJ27" i="9"/>
  <c r="AM27" i="9"/>
  <c r="AI30" i="9"/>
  <c r="AJ30" i="9"/>
  <c r="AM30" i="9"/>
  <c r="AI33" i="9"/>
  <c r="AJ33" i="9"/>
  <c r="AM33" i="9"/>
  <c r="AM69" i="9"/>
  <c r="AM72" i="9"/>
  <c r="AM75" i="9"/>
  <c r="AM78" i="9"/>
  <c r="AM81" i="9"/>
  <c r="AM84" i="9"/>
  <c r="AM87" i="9"/>
  <c r="AM90" i="9"/>
  <c r="AM93" i="9"/>
  <c r="AM96" i="9"/>
  <c r="AM99" i="9"/>
  <c r="AM102" i="9"/>
  <c r="AM105" i="9"/>
  <c r="AM108" i="9"/>
  <c r="AI69" i="9"/>
  <c r="AI72" i="9"/>
  <c r="AI75" i="9"/>
  <c r="AI78" i="9"/>
  <c r="AI81" i="9"/>
  <c r="AI84" i="9"/>
  <c r="AI87" i="9"/>
  <c r="AI90" i="9"/>
  <c r="AI93" i="9"/>
  <c r="AI96" i="9"/>
  <c r="AI99" i="9"/>
  <c r="AI102" i="9"/>
  <c r="AI105" i="9"/>
  <c r="AI108" i="9"/>
  <c r="AJ69" i="9"/>
  <c r="AJ72" i="9"/>
  <c r="AJ75" i="9"/>
  <c r="AJ78" i="9"/>
  <c r="AJ81" i="9"/>
  <c r="AJ84" i="9"/>
  <c r="AJ87" i="9"/>
  <c r="AJ90" i="9"/>
  <c r="AJ93" i="9"/>
  <c r="AJ96" i="9"/>
  <c r="AJ99" i="9"/>
  <c r="AJ102" i="9"/>
  <c r="AJ105" i="9"/>
  <c r="AJ108" i="9"/>
  <c r="CS109" i="9" l="1"/>
  <c r="AQ3" i="9"/>
  <c r="AQ5" i="9" s="1"/>
  <c r="CU109" i="9"/>
  <c r="AN54" i="9"/>
  <c r="AN51" i="9"/>
  <c r="AN36" i="9"/>
  <c r="AN63" i="9"/>
  <c r="AN57" i="9"/>
  <c r="AN66" i="9"/>
  <c r="AN9" i="9"/>
  <c r="AN30" i="9"/>
  <c r="AN12" i="9"/>
  <c r="AN21" i="9"/>
  <c r="AN33" i="9"/>
  <c r="AN24" i="9"/>
  <c r="AN15" i="9"/>
  <c r="AN27" i="9"/>
  <c r="AN18" i="9"/>
  <c r="AN69" i="9"/>
  <c r="AN105" i="9"/>
  <c r="AN87" i="9"/>
  <c r="AN99" i="9"/>
  <c r="AN81" i="9"/>
  <c r="AN108" i="9"/>
  <c r="AN90" i="9"/>
  <c r="AN72" i="9"/>
  <c r="AN75" i="9"/>
  <c r="AN93" i="9"/>
  <c r="AN78" i="9"/>
  <c r="AN96" i="9"/>
  <c r="AN84" i="9"/>
  <c r="AN102" i="9"/>
</calcChain>
</file>

<file path=xl/sharedStrings.xml><?xml version="1.0" encoding="utf-8"?>
<sst xmlns="http://schemas.openxmlformats.org/spreadsheetml/2006/main" count="257" uniqueCount="56">
  <si>
    <t>Nr.
crt.</t>
  </si>
  <si>
    <t>Numele si 
prenumele salariatului</t>
  </si>
  <si>
    <t>Program de lucru</t>
  </si>
  <si>
    <t>DATA</t>
  </si>
  <si>
    <t>Santier</t>
  </si>
  <si>
    <t xml:space="preserve"> ORE LUCRATE</t>
  </si>
  <si>
    <t xml:space="preserve">ore compensate </t>
  </si>
  <si>
    <t>CO/ ORE</t>
  </si>
  <si>
    <t>TOTAL ORE</t>
  </si>
  <si>
    <t>zile lucrate</t>
  </si>
  <si>
    <t>tarif/h</t>
  </si>
  <si>
    <t>Ore</t>
  </si>
  <si>
    <t>lucrate</t>
  </si>
  <si>
    <t>Liber platit/ore</t>
  </si>
  <si>
    <t>LL</t>
  </si>
  <si>
    <t>Concediu medical</t>
  </si>
  <si>
    <t>VS</t>
  </si>
  <si>
    <t>T</t>
  </si>
  <si>
    <t>Sb</t>
  </si>
  <si>
    <t>TRACTORULUI</t>
  </si>
  <si>
    <t>SIBIEL</t>
  </si>
  <si>
    <t>TRACTORULUI/ ORE</t>
  </si>
  <si>
    <t>TRACTORULUI/ SALAR</t>
  </si>
  <si>
    <t>VICTORIA SPITAL / ORE</t>
  </si>
  <si>
    <t>VICTORIA SPITAL / SALAR</t>
  </si>
  <si>
    <t>SIBIEL/ ORE</t>
  </si>
  <si>
    <t>SIBIEL/ SALAR</t>
  </si>
  <si>
    <t>SALAR ORE LUCRATE IANUARIE 2025</t>
  </si>
  <si>
    <t>total</t>
  </si>
  <si>
    <t>BAZIN UCEA/ SALAR</t>
  </si>
  <si>
    <t>BAZIN UCEA/ ORE</t>
  </si>
  <si>
    <t xml:space="preserve">CASA DE CULTURA/ ORE </t>
  </si>
  <si>
    <t xml:space="preserve">CASA DE CULTURA/ SALAR </t>
  </si>
  <si>
    <t xml:space="preserve">BLOC 3/ ORE </t>
  </si>
  <si>
    <t>BLOC 3 / SALAR</t>
  </si>
  <si>
    <t>BLOC 14 / ORE</t>
  </si>
  <si>
    <t>BLOC 14 / SALAR</t>
  </si>
  <si>
    <t>TRACTORULUI/ ORE MUNCITE</t>
  </si>
  <si>
    <t>VICTORIA SPITAL /  ORE MUNCITE</t>
  </si>
  <si>
    <t>SIBIEL / ORE MUNCITE</t>
  </si>
  <si>
    <t>BAZIN UCEA/ ORE MUNCITE</t>
  </si>
  <si>
    <t>CASA DE CULTURA/ ORE MUNCITE</t>
  </si>
  <si>
    <t>BLOC 3/ ORE MUNCITE</t>
  </si>
  <si>
    <t>BLOC 14/ ORE MUNCITE</t>
  </si>
  <si>
    <t>VB</t>
  </si>
  <si>
    <t>VICTORIA BAZIN UCEA</t>
  </si>
  <si>
    <t>VICTORIA SPITAL</t>
  </si>
  <si>
    <t>CASA DE CULTURA</t>
  </si>
  <si>
    <t>VCC</t>
  </si>
  <si>
    <t>VB3</t>
  </si>
  <si>
    <t>VICTORIA BLOC 3</t>
  </si>
  <si>
    <t>VB14</t>
  </si>
  <si>
    <t>VICTORIA BLOC 14</t>
  </si>
  <si>
    <t>TRACTORULUI bloc a</t>
  </si>
  <si>
    <t>T-A</t>
  </si>
  <si>
    <t>LEGENDA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</si>
</sst>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;[Red]0.00"/>
    <numFmt numFmtId="165" formatCode="0;[Red]0"/>
  </numFmts>
  <fonts count="2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name val="Times New Roman"/>
      <family val="1"/>
    </font>
    <font>
      <b/>
      <sz val="18"/>
      <color theme="1"/>
      <name val="Times New Roman"/>
      <family val="1"/>
    </font>
    <font>
      <b/>
      <sz val="12"/>
      <color theme="1"/>
      <name val="Times New Roman"/>
      <family val="1"/>
    </font>
    <font>
      <b/>
      <sz val="9"/>
      <name val="Times New Roman"/>
      <family val="1"/>
    </font>
    <font>
      <b/>
      <sz val="16"/>
      <name val="Times New Roman"/>
      <family val="1"/>
    </font>
    <font>
      <b/>
      <i/>
      <sz val="10"/>
      <name val="Times New Roman"/>
      <family val="1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4"/>
      <name val="Times New Roman"/>
      <family val="1"/>
    </font>
    <font>
      <sz val="12"/>
      <color rgb="FF00000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6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name val="Times New Roman"/>
      <family val="1"/>
    </font>
    <font>
      <sz val="10"/>
      <name val="Times New Roman"/>
      <family val="1"/>
    </font>
    <font>
      <sz val="12"/>
      <color theme="0"/>
      <name val="Calibri"/>
      <family val="2"/>
      <scheme val="minor"/>
    </font>
    <font>
      <b/>
      <sz val="12"/>
      <color rgb="FF000000"/>
      <name val="Times New Roman"/>
      <family val="1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 style="thin">
        <color auto="1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rgb="FF000000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auto="1"/>
      </left>
      <right style="thick">
        <color indexed="64"/>
      </right>
      <top style="medium">
        <color auto="1"/>
      </top>
      <bottom/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auto="1"/>
      </left>
      <right style="thick">
        <color indexed="64"/>
      </right>
      <top/>
      <bottom style="medium">
        <color rgb="FF000000"/>
      </bottom>
      <diagonal/>
    </border>
    <border>
      <left style="medium">
        <color indexed="64"/>
      </left>
      <right style="thick">
        <color indexed="64"/>
      </right>
      <top style="medium">
        <color rgb="FF000000"/>
      </top>
      <bottom/>
      <diagonal/>
    </border>
    <border>
      <left style="thick">
        <color indexed="64"/>
      </left>
      <right style="thin">
        <color indexed="64"/>
      </right>
      <top style="thick">
        <color rgb="FF000000"/>
      </top>
      <bottom/>
      <diagonal/>
    </border>
    <border>
      <left style="thick">
        <color indexed="64"/>
      </left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 style="thin">
        <color auto="1"/>
      </top>
      <bottom/>
      <diagonal/>
    </border>
    <border>
      <left style="medium">
        <color auto="1"/>
      </left>
      <right style="thick">
        <color indexed="64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thick">
        <color indexed="64"/>
      </bottom>
      <diagonal/>
    </border>
  </borders>
  <cellStyleXfs count="2553">
    <xf numFmtId="0" fontId="0" fillId="0" borderId="0"/>
    <xf numFmtId="0" fontId="1" fillId="0" borderId="0"/>
    <xf numFmtId="0" fontId="1" fillId="0" borderId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206">
    <xf numFmtId="0" fontId="0" fillId="0" borderId="0" xfId="0"/>
    <xf numFmtId="0" fontId="2" fillId="2" borderId="4" xfId="1" applyFont="1" applyFill="1" applyBorder="1" applyAlignment="1">
      <alignment vertical="center" wrapText="1"/>
    </xf>
    <xf numFmtId="0" fontId="0" fillId="2" borderId="0" xfId="0" applyFill="1"/>
    <xf numFmtId="0" fontId="5" fillId="4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4" fillId="2" borderId="6" xfId="0" applyFont="1" applyFill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vertical="center" wrapText="1"/>
    </xf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5" fillId="2" borderId="17" xfId="1" applyFont="1" applyFill="1" applyBorder="1" applyAlignment="1">
      <alignment horizontal="center" vertical="center" wrapText="1"/>
    </xf>
    <xf numFmtId="0" fontId="13" fillId="5" borderId="18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5" fillId="7" borderId="17" xfId="1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/>
    </xf>
    <xf numFmtId="0" fontId="18" fillId="2" borderId="20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/>
    </xf>
    <xf numFmtId="0" fontId="14" fillId="2" borderId="20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0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/>
    </xf>
    <xf numFmtId="165" fontId="0" fillId="2" borderId="0" xfId="0" applyNumberFormat="1" applyFill="1"/>
    <xf numFmtId="0" fontId="17" fillId="2" borderId="15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 vertical="center" wrapText="1"/>
    </xf>
    <xf numFmtId="0" fontId="16" fillId="0" borderId="0" xfId="0" applyFont="1"/>
    <xf numFmtId="0" fontId="17" fillId="2" borderId="1" xfId="0" applyFont="1" applyFill="1" applyBorder="1" applyAlignment="1">
      <alignment horizontal="center"/>
    </xf>
    <xf numFmtId="165" fontId="17" fillId="2" borderId="6" xfId="0" applyNumberFormat="1" applyFont="1" applyFill="1" applyBorder="1" applyAlignment="1">
      <alignment horizontal="center"/>
    </xf>
    <xf numFmtId="0" fontId="15" fillId="10" borderId="17" xfId="1" applyFont="1" applyFill="1" applyBorder="1" applyAlignment="1">
      <alignment horizontal="center" vertical="center" wrapText="1"/>
    </xf>
    <xf numFmtId="0" fontId="13" fillId="8" borderId="19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/>
    </xf>
    <xf numFmtId="165" fontId="13" fillId="2" borderId="6" xfId="0" applyNumberFormat="1" applyFont="1" applyFill="1" applyBorder="1" applyAlignment="1">
      <alignment horizontal="center" vertical="center"/>
    </xf>
    <xf numFmtId="165" fontId="14" fillId="2" borderId="6" xfId="0" applyNumberFormat="1" applyFont="1" applyFill="1" applyBorder="1" applyAlignment="1">
      <alignment horizontal="center"/>
    </xf>
    <xf numFmtId="165" fontId="13" fillId="2" borderId="6" xfId="0" applyNumberFormat="1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/>
    </xf>
    <xf numFmtId="0" fontId="0" fillId="0" borderId="6" xfId="0" applyBorder="1"/>
    <xf numFmtId="0" fontId="13" fillId="2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8" borderId="20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3" fillId="8" borderId="5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/>
    </xf>
    <xf numFmtId="0" fontId="14" fillId="8" borderId="15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8" borderId="20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14" fillId="8" borderId="2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14" fillId="0" borderId="0" xfId="0" applyFont="1"/>
    <xf numFmtId="0" fontId="14" fillId="0" borderId="6" xfId="0" applyFont="1" applyBorder="1"/>
    <xf numFmtId="165" fontId="14" fillId="0" borderId="6" xfId="0" applyNumberFormat="1" applyFont="1" applyBorder="1"/>
    <xf numFmtId="0" fontId="13" fillId="11" borderId="2" xfId="0" applyFont="1" applyFill="1" applyBorder="1" applyAlignment="1">
      <alignment horizontal="center" vertical="center"/>
    </xf>
    <xf numFmtId="164" fontId="18" fillId="11" borderId="9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1" borderId="20" xfId="0" applyFont="1" applyFill="1" applyBorder="1" applyAlignment="1">
      <alignment horizontal="center"/>
    </xf>
    <xf numFmtId="164" fontId="18" fillId="11" borderId="1" xfId="0" applyNumberFormat="1" applyFont="1" applyFill="1" applyBorder="1" applyAlignment="1">
      <alignment horizontal="center"/>
    </xf>
    <xf numFmtId="0" fontId="13" fillId="11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/>
    </xf>
    <xf numFmtId="0" fontId="14" fillId="11" borderId="20" xfId="0" applyFont="1" applyFill="1" applyBorder="1" applyAlignment="1">
      <alignment horizontal="center"/>
    </xf>
    <xf numFmtId="165" fontId="14" fillId="11" borderId="1" xfId="0" applyNumberFormat="1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14" fillId="11" borderId="9" xfId="0" applyFont="1" applyFill="1" applyBorder="1" applyAlignment="1">
      <alignment horizontal="center"/>
    </xf>
    <xf numFmtId="0" fontId="16" fillId="11" borderId="6" xfId="0" applyFont="1" applyFill="1" applyBorder="1" applyAlignment="1">
      <alignment horizontal="center"/>
    </xf>
    <xf numFmtId="0" fontId="14" fillId="11" borderId="2" xfId="0" applyFont="1" applyFill="1" applyBorder="1" applyAlignment="1">
      <alignment horizontal="center"/>
    </xf>
    <xf numFmtId="165" fontId="14" fillId="0" borderId="0" xfId="0" applyNumberFormat="1" applyFont="1"/>
    <xf numFmtId="0" fontId="6" fillId="12" borderId="11" xfId="0" applyFont="1" applyFill="1" applyBorder="1" applyAlignment="1">
      <alignment horizontal="center"/>
    </xf>
    <xf numFmtId="0" fontId="6" fillId="12" borderId="12" xfId="0" applyFont="1" applyFill="1" applyBorder="1" applyAlignment="1">
      <alignment horizontal="center"/>
    </xf>
    <xf numFmtId="3" fontId="14" fillId="0" borderId="6" xfId="0" applyNumberFormat="1" applyFont="1" applyBorder="1"/>
    <xf numFmtId="0" fontId="6" fillId="2" borderId="18" xfId="1" applyFont="1" applyFill="1" applyBorder="1" applyAlignment="1">
      <alignment horizontal="center" vertical="center"/>
    </xf>
    <xf numFmtId="0" fontId="6" fillId="2" borderId="24" xfId="1" applyFont="1" applyFill="1" applyBorder="1" applyAlignment="1">
      <alignment horizontal="center" vertical="center"/>
    </xf>
    <xf numFmtId="3" fontId="17" fillId="7" borderId="6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3" fontId="4" fillId="2" borderId="31" xfId="1" applyNumberFormat="1" applyFont="1" applyFill="1" applyBorder="1" applyAlignment="1">
      <alignment horizontal="center"/>
    </xf>
    <xf numFmtId="165" fontId="4" fillId="2" borderId="31" xfId="1" applyNumberFormat="1" applyFont="1" applyFill="1" applyBorder="1" applyAlignment="1">
      <alignment horizontal="center"/>
    </xf>
    <xf numFmtId="3" fontId="4" fillId="2" borderId="32" xfId="1" applyNumberFormat="1" applyFont="1" applyFill="1" applyBorder="1" applyAlignment="1">
      <alignment horizontal="center"/>
    </xf>
    <xf numFmtId="0" fontId="5" fillId="4" borderId="34" xfId="0" applyFont="1" applyFill="1" applyBorder="1" applyAlignment="1">
      <alignment horizontal="center" wrapText="1"/>
    </xf>
    <xf numFmtId="0" fontId="5" fillId="4" borderId="37" xfId="0" applyFont="1" applyFill="1" applyBorder="1" applyAlignment="1">
      <alignment horizontal="center"/>
    </xf>
    <xf numFmtId="0" fontId="5" fillId="4" borderId="39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wrapText="1"/>
    </xf>
    <xf numFmtId="3" fontId="22" fillId="4" borderId="37" xfId="0" applyNumberFormat="1" applyFont="1" applyFill="1" applyBorder="1" applyAlignment="1">
      <alignment horizontal="center"/>
    </xf>
    <xf numFmtId="165" fontId="22" fillId="4" borderId="37" xfId="0" applyNumberFormat="1" applyFont="1" applyFill="1" applyBorder="1" applyAlignment="1">
      <alignment horizontal="center"/>
    </xf>
    <xf numFmtId="3" fontId="22" fillId="4" borderId="42" xfId="0" applyNumberFormat="1" applyFont="1" applyFill="1" applyBorder="1" applyAlignment="1">
      <alignment horizontal="center"/>
    </xf>
    <xf numFmtId="0" fontId="5" fillId="4" borderId="43" xfId="0" applyFont="1" applyFill="1" applyBorder="1" applyAlignment="1">
      <alignment horizontal="center" wrapText="1"/>
    </xf>
    <xf numFmtId="3" fontId="17" fillId="5" borderId="9" xfId="0" applyNumberFormat="1" applyFont="1" applyFill="1" applyBorder="1" applyAlignment="1">
      <alignment horizontal="center"/>
    </xf>
    <xf numFmtId="3" fontId="17" fillId="2" borderId="9" xfId="0" applyNumberFormat="1" applyFont="1" applyFill="1" applyBorder="1" applyAlignment="1">
      <alignment horizontal="center"/>
    </xf>
    <xf numFmtId="0" fontId="21" fillId="2" borderId="0" xfId="0" applyFont="1" applyFill="1"/>
    <xf numFmtId="3" fontId="23" fillId="2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3" fontId="23" fillId="2" borderId="2" xfId="0" applyNumberFormat="1" applyFont="1" applyFill="1" applyBorder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18" fillId="2" borderId="9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0" fontId="14" fillId="0" borderId="2" xfId="0" applyFont="1" applyBorder="1"/>
    <xf numFmtId="3" fontId="14" fillId="0" borderId="2" xfId="0" applyNumberFormat="1" applyFont="1" applyBorder="1"/>
    <xf numFmtId="0" fontId="23" fillId="0" borderId="0" xfId="0" applyFont="1"/>
    <xf numFmtId="165" fontId="23" fillId="0" borderId="0" xfId="0" applyNumberFormat="1" applyFont="1"/>
    <xf numFmtId="0" fontId="14" fillId="0" borderId="6" xfId="0" applyFont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3" fontId="17" fillId="0" borderId="1" xfId="0" applyNumberFormat="1" applyFont="1" applyBorder="1"/>
    <xf numFmtId="0" fontId="25" fillId="0" borderId="0" xfId="0" applyFont="1" applyAlignment="1">
      <alignment horizontal="center"/>
    </xf>
    <xf numFmtId="0" fontId="25" fillId="0" borderId="0" xfId="0" applyFont="1"/>
    <xf numFmtId="0" fontId="25" fillId="0" borderId="6" xfId="0" applyFont="1" applyBorder="1"/>
    <xf numFmtId="0" fontId="25" fillId="2" borderId="0" xfId="0" applyFont="1" applyFill="1"/>
    <xf numFmtId="0" fontId="24" fillId="2" borderId="0" xfId="0" applyFont="1" applyFill="1"/>
    <xf numFmtId="0" fontId="25" fillId="0" borderId="2" xfId="0" applyFont="1" applyBorder="1"/>
    <xf numFmtId="0" fontId="24" fillId="0" borderId="0" xfId="0" applyFont="1"/>
    <xf numFmtId="0" fontId="25" fillId="2" borderId="0" xfId="0" applyFont="1" applyFill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/>
    <xf numFmtId="2" fontId="14" fillId="0" borderId="0" xfId="0" applyNumberFormat="1" applyFont="1"/>
    <xf numFmtId="2" fontId="6" fillId="12" borderId="12" xfId="0" applyNumberFormat="1" applyFont="1" applyFill="1" applyBorder="1" applyAlignment="1">
      <alignment horizontal="right"/>
    </xf>
    <xf numFmtId="2" fontId="25" fillId="0" borderId="0" xfId="0" applyNumberFormat="1" applyFont="1"/>
    <xf numFmtId="2" fontId="25" fillId="0" borderId="5" xfId="0" applyNumberFormat="1" applyFont="1" applyBorder="1"/>
    <xf numFmtId="2" fontId="13" fillId="2" borderId="2" xfId="0" applyNumberFormat="1" applyFont="1" applyFill="1" applyBorder="1" applyAlignment="1">
      <alignment horizontal="center" vertical="center" wrapText="1"/>
    </xf>
    <xf numFmtId="2" fontId="17" fillId="3" borderId="9" xfId="0" applyNumberFormat="1" applyFont="1" applyFill="1" applyBorder="1" applyAlignment="1">
      <alignment horizontal="center"/>
    </xf>
    <xf numFmtId="2" fontId="17" fillId="3" borderId="18" xfId="0" applyNumberFormat="1" applyFont="1" applyFill="1" applyBorder="1" applyAlignment="1">
      <alignment horizontal="center"/>
    </xf>
    <xf numFmtId="2" fontId="17" fillId="3" borderId="6" xfId="0" applyNumberFormat="1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6" fillId="2" borderId="0" xfId="0" applyNumberFormat="1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25" fillId="2" borderId="0" xfId="0" applyNumberFormat="1" applyFont="1" applyFill="1"/>
    <xf numFmtId="0" fontId="11" fillId="2" borderId="34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5" fontId="11" fillId="6" borderId="34" xfId="0" applyNumberFormat="1" applyFont="1" applyFill="1" applyBorder="1" applyAlignment="1">
      <alignment horizontal="center" vertical="center"/>
    </xf>
    <xf numFmtId="165" fontId="11" fillId="6" borderId="1" xfId="0" applyNumberFormat="1" applyFont="1" applyFill="1" applyBorder="1" applyAlignment="1">
      <alignment horizontal="center" vertical="center"/>
    </xf>
    <xf numFmtId="0" fontId="19" fillId="2" borderId="34" xfId="1" applyFont="1" applyFill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11" fillId="6" borderId="33" xfId="0" applyFont="1" applyFill="1" applyBorder="1" applyAlignment="1">
      <alignment horizontal="left" vertical="center" wrapText="1"/>
    </xf>
    <xf numFmtId="0" fontId="11" fillId="6" borderId="35" xfId="0" applyFont="1" applyFill="1" applyBorder="1" applyAlignment="1">
      <alignment horizontal="left" vertical="center" wrapText="1"/>
    </xf>
    <xf numFmtId="0" fontId="11" fillId="6" borderId="3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center" vertical="center"/>
    </xf>
    <xf numFmtId="0" fontId="7" fillId="4" borderId="45" xfId="0" applyFont="1" applyFill="1" applyBorder="1" applyAlignment="1">
      <alignment horizontal="center" vertical="center"/>
    </xf>
    <xf numFmtId="0" fontId="7" fillId="4" borderId="46" xfId="0" applyFont="1" applyFill="1" applyBorder="1" applyAlignment="1">
      <alignment horizontal="center" vertical="center"/>
    </xf>
    <xf numFmtId="0" fontId="17" fillId="2" borderId="49" xfId="0" applyFont="1" applyFill="1" applyBorder="1" applyAlignment="1">
      <alignment horizontal="center" vertical="center"/>
    </xf>
    <xf numFmtId="0" fontId="17" fillId="2" borderId="50" xfId="0" applyFont="1" applyFill="1" applyBorder="1" applyAlignment="1">
      <alignment horizontal="center" vertical="center"/>
    </xf>
    <xf numFmtId="0" fontId="11" fillId="2" borderId="40" xfId="0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/>
    </xf>
    <xf numFmtId="165" fontId="11" fillId="2" borderId="34" xfId="0" applyNumberFormat="1" applyFont="1" applyFill="1" applyBorder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65" fontId="11" fillId="6" borderId="28" xfId="0" applyNumberFormat="1" applyFont="1" applyFill="1" applyBorder="1" applyAlignment="1">
      <alignment horizontal="center" vertical="center"/>
    </xf>
    <xf numFmtId="165" fontId="11" fillId="6" borderId="6" xfId="0" applyNumberFormat="1" applyFont="1" applyFill="1" applyBorder="1" applyAlignment="1">
      <alignment horizontal="center" vertical="center"/>
    </xf>
    <xf numFmtId="0" fontId="19" fillId="2" borderId="28" xfId="1" applyFont="1" applyFill="1" applyBorder="1" applyAlignment="1">
      <alignment horizontal="center" vertical="center"/>
    </xf>
    <xf numFmtId="0" fontId="19" fillId="2" borderId="6" xfId="1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165" fontId="11" fillId="2" borderId="28" xfId="0" applyNumberFormat="1" applyFont="1" applyFill="1" applyBorder="1" applyAlignment="1">
      <alignment horizontal="center" vertical="center"/>
    </xf>
    <xf numFmtId="165" fontId="11" fillId="2" borderId="6" xfId="0" applyNumberFormat="1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5" fontId="11" fillId="4" borderId="34" xfId="0" applyNumberFormat="1" applyFont="1" applyFill="1" applyBorder="1" applyAlignment="1">
      <alignment horizontal="center" vertical="center"/>
    </xf>
    <xf numFmtId="165" fontId="11" fillId="4" borderId="1" xfId="0" applyNumberFormat="1" applyFont="1" applyFill="1" applyBorder="1" applyAlignment="1">
      <alignment horizontal="center" vertical="center"/>
    </xf>
    <xf numFmtId="0" fontId="19" fillId="4" borderId="3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1" fillId="4" borderId="33" xfId="0" applyFont="1" applyFill="1" applyBorder="1" applyAlignment="1">
      <alignment horizontal="left" vertical="center" wrapText="1"/>
    </xf>
    <xf numFmtId="0" fontId="11" fillId="4" borderId="35" xfId="0" applyFont="1" applyFill="1" applyBorder="1" applyAlignment="1">
      <alignment horizontal="left" vertical="center" wrapText="1"/>
    </xf>
    <xf numFmtId="0" fontId="11" fillId="4" borderId="38" xfId="0" applyFont="1" applyFill="1" applyBorder="1" applyAlignment="1">
      <alignment horizontal="left" vertical="center" wrapText="1"/>
    </xf>
    <xf numFmtId="0" fontId="11" fillId="4" borderId="40" xfId="0" applyFont="1" applyFill="1" applyBorder="1" applyAlignment="1">
      <alignment horizontal="center" vertical="center"/>
    </xf>
    <xf numFmtId="0" fontId="11" fillId="4" borderId="41" xfId="0" applyFont="1" applyFill="1" applyBorder="1" applyAlignment="1">
      <alignment horizontal="center" vertical="center"/>
    </xf>
    <xf numFmtId="0" fontId="11" fillId="4" borderId="48" xfId="0" applyFont="1" applyFill="1" applyBorder="1" applyAlignment="1">
      <alignment horizontal="left" vertical="center" wrapText="1"/>
    </xf>
    <xf numFmtId="0" fontId="7" fillId="4" borderId="52" xfId="0" applyFont="1" applyFill="1" applyBorder="1" applyAlignment="1">
      <alignment horizontal="center" vertical="center"/>
    </xf>
    <xf numFmtId="0" fontId="7" fillId="4" borderId="53" xfId="0" applyFont="1" applyFill="1" applyBorder="1" applyAlignment="1">
      <alignment horizontal="center" vertical="center"/>
    </xf>
    <xf numFmtId="0" fontId="7" fillId="4" borderId="44" xfId="0" applyFont="1" applyFill="1" applyBorder="1" applyAlignment="1">
      <alignment horizontal="center" vertical="center"/>
    </xf>
    <xf numFmtId="0" fontId="5" fillId="2" borderId="27" xfId="1" applyFont="1" applyFill="1" applyBorder="1" applyAlignment="1">
      <alignment horizontal="center" vertical="center" wrapText="1"/>
    </xf>
    <xf numFmtId="0" fontId="5" fillId="2" borderId="57" xfId="1" applyFont="1" applyFill="1" applyBorder="1" applyAlignment="1">
      <alignment horizontal="center" vertical="center" wrapText="1"/>
    </xf>
    <xf numFmtId="0" fontId="20" fillId="2" borderId="26" xfId="1" applyFont="1" applyFill="1" applyBorder="1" applyAlignment="1">
      <alignment horizontal="center" vertical="center"/>
    </xf>
    <xf numFmtId="0" fontId="20" fillId="2" borderId="25" xfId="1" applyFont="1" applyFill="1" applyBorder="1" applyAlignment="1">
      <alignment horizontal="center" vertical="center"/>
    </xf>
    <xf numFmtId="0" fontId="7" fillId="2" borderId="44" xfId="1" applyFont="1" applyFill="1" applyBorder="1" applyAlignment="1">
      <alignment horizontal="center" vertical="center"/>
    </xf>
    <xf numFmtId="0" fontId="7" fillId="2" borderId="45" xfId="1" applyFont="1" applyFill="1" applyBorder="1" applyAlignment="1">
      <alignment horizontal="center" vertical="center"/>
    </xf>
    <xf numFmtId="0" fontId="7" fillId="2" borderId="51" xfId="1" applyFont="1" applyFill="1" applyBorder="1" applyAlignment="1">
      <alignment horizontal="center" vertical="center"/>
    </xf>
    <xf numFmtId="0" fontId="7" fillId="2" borderId="54" xfId="1" applyFont="1" applyFill="1" applyBorder="1" applyAlignment="1">
      <alignment horizontal="center" vertical="center"/>
    </xf>
    <xf numFmtId="0" fontId="7" fillId="2" borderId="55" xfId="1" applyFont="1" applyFill="1" applyBorder="1" applyAlignment="1">
      <alignment horizontal="center" vertical="center"/>
    </xf>
    <xf numFmtId="0" fontId="7" fillId="2" borderId="56" xfId="1" applyFont="1" applyFill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1" fillId="2" borderId="21" xfId="1" applyFont="1" applyFill="1" applyBorder="1" applyAlignment="1">
      <alignment horizontal="center"/>
    </xf>
    <xf numFmtId="0" fontId="7" fillId="2" borderId="7" xfId="1" applyFont="1" applyFill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/>
    </xf>
    <xf numFmtId="0" fontId="7" fillId="2" borderId="23" xfId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</cellXfs>
  <cellStyles count="2553"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Normal" xfId="0" builtinId="0"/>
    <cellStyle name="Normal 2" xfId="2" xr:uid="{00000000-0005-0000-0000-0000F7090000}"/>
    <cellStyle name="Normal_PONTAJ CODUL MUNCII MODIFICAT" xfId="1" xr:uid="{00000000-0005-0000-0000-0000F80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826"/>
  <sheetViews>
    <sheetView tabSelected="1" zoomScale="90" zoomScaleNormal="90" zoomScaleSheetLayoutView="75" zoomScalePageLayoutView="75" workbookViewId="0">
      <selection activeCell="S9" sqref="S9:S10"/>
    </sheetView>
  </sheetViews>
  <sheetFormatPr baseColWidth="10" defaultRowHeight="16" x14ac:dyDescent="0.2"/>
  <cols>
    <col min="1" max="1" width="4" customWidth="1"/>
    <col min="2" max="2" width="21.33203125" customWidth="1"/>
    <col min="4" max="5" width="4.33203125" bestFit="1" customWidth="1"/>
    <col min="6" max="6" width="6.83203125" customWidth="1"/>
    <col min="7" max="7" width="5.33203125" customWidth="1"/>
    <col min="8" max="8" width="6.6640625" customWidth="1"/>
    <col min="9" max="9" width="5.1640625" customWidth="1"/>
    <col min="10" max="10" width="4.1640625" bestFit="1" customWidth="1"/>
    <col min="11" max="11" width="6.6640625" customWidth="1"/>
    <col min="12" max="12" width="5.5" customWidth="1"/>
    <col min="13" max="13" width="6.83203125" customWidth="1"/>
    <col min="14" max="14" width="6.5" customWidth="1"/>
    <col min="15" max="15" width="6.83203125" bestFit="1" customWidth="1"/>
    <col min="16" max="16" width="5.6640625" customWidth="1"/>
    <col min="17" max="17" width="6.1640625" bestFit="1" customWidth="1"/>
    <col min="18" max="19" width="6.83203125" bestFit="1" customWidth="1"/>
    <col min="20" max="20" width="7.5" customWidth="1"/>
    <col min="21" max="21" width="6.83203125" bestFit="1" customWidth="1"/>
    <col min="22" max="23" width="5.5" customWidth="1"/>
    <col min="24" max="24" width="6.1640625" bestFit="1" customWidth="1"/>
    <col min="25" max="28" width="6.83203125" bestFit="1" customWidth="1"/>
    <col min="29" max="29" width="5.83203125" customWidth="1"/>
    <col min="30" max="30" width="7" customWidth="1"/>
    <col min="31" max="31" width="6.6640625" customWidth="1"/>
    <col min="32" max="32" width="6.83203125" bestFit="1" customWidth="1"/>
    <col min="33" max="34" width="6" customWidth="1"/>
    <col min="35" max="35" width="8.33203125" customWidth="1"/>
    <col min="36" max="36" width="8.6640625" bestFit="1" customWidth="1"/>
    <col min="37" max="37" width="8.33203125" customWidth="1"/>
    <col min="38" max="38" width="5.5" customWidth="1"/>
    <col min="39" max="39" width="6.83203125" customWidth="1"/>
    <col min="40" max="40" width="8.83203125" style="118" customWidth="1"/>
    <col min="41" max="42" width="8.83203125" style="119" customWidth="1"/>
    <col min="43" max="43" width="14.33203125" style="130" customWidth="1"/>
    <col min="45" max="46" width="10.83203125" style="119"/>
    <col min="47" max="47" width="15.33203125" style="119" customWidth="1"/>
    <col min="48" max="48" width="10.83203125" style="119"/>
    <col min="49" max="49" width="8" style="119" customWidth="1"/>
    <col min="50" max="66" width="10.83203125" style="119"/>
  </cols>
  <sheetData>
    <row r="1" spans="1:103" x14ac:dyDescent="0.2">
      <c r="AN1" s="205" t="s">
        <v>55</v>
      </c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</row>
    <row r="2" spans="1:103" ht="19" x14ac:dyDescent="0.25">
      <c r="AN2" s="118" t="s">
        <v>17</v>
      </c>
      <c r="AO2" s="64" t="s">
        <v>19</v>
      </c>
      <c r="AP2" s="64"/>
      <c r="AQ2" s="128">
        <f>SUM(AT:AT)</f>
        <v>0</v>
      </c>
      <c r="AR2" s="64"/>
      <c r="AS2" s="118" t="s">
        <v>44</v>
      </c>
      <c r="AT2" s="64" t="s">
        <v>45</v>
      </c>
      <c r="AU2" s="64"/>
      <c r="AV2" s="80">
        <f>SUM(AZ:AZ)</f>
        <v>0</v>
      </c>
      <c r="AY2" s="118" t="s">
        <v>54</v>
      </c>
      <c r="AZ2" s="64" t="s">
        <v>53</v>
      </c>
      <c r="BA2" s="64"/>
    </row>
    <row r="3" spans="1:103" ht="19" x14ac:dyDescent="0.25">
      <c r="AN3" s="118" t="s">
        <v>16</v>
      </c>
      <c r="AO3" s="64" t="s">
        <v>46</v>
      </c>
      <c r="AP3" s="64"/>
      <c r="AQ3" s="128">
        <f>SUM(AV:AV)</f>
        <v>0</v>
      </c>
      <c r="AR3" s="64"/>
      <c r="AS3" s="118" t="s">
        <v>48</v>
      </c>
      <c r="AT3" s="64" t="s">
        <v>47</v>
      </c>
      <c r="AU3" s="64"/>
      <c r="AV3" s="64">
        <f>SUM(BB:BB)</f>
        <v>0</v>
      </c>
    </row>
    <row r="4" spans="1:103" ht="19" x14ac:dyDescent="0.25">
      <c r="AN4" s="118" t="s">
        <v>18</v>
      </c>
      <c r="AO4" s="64" t="s">
        <v>20</v>
      </c>
      <c r="AP4" s="64"/>
      <c r="AQ4" s="128">
        <f>SUM(AX:AX)</f>
        <v>0</v>
      </c>
      <c r="AR4" s="64"/>
      <c r="AS4" s="118" t="s">
        <v>49</v>
      </c>
      <c r="AT4" s="64" t="s">
        <v>50</v>
      </c>
      <c r="AU4" s="64"/>
      <c r="AV4" s="64">
        <f>SUM(BD:BD)</f>
        <v>0</v>
      </c>
    </row>
    <row r="5" spans="1:103" ht="24" thickBot="1" x14ac:dyDescent="0.3">
      <c r="A5" s="200"/>
      <c r="B5" s="200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4"/>
      <c r="AJ5" s="9"/>
      <c r="AK5" s="9"/>
      <c r="AL5" s="9"/>
      <c r="AM5" s="9"/>
      <c r="AN5" s="125"/>
      <c r="AO5" s="81" t="s">
        <v>28</v>
      </c>
      <c r="AP5" s="82"/>
      <c r="AQ5" s="129">
        <f>AQ2+AQ3+AQ4+AV2+AV3+AV4+AV5</f>
        <v>0</v>
      </c>
      <c r="AR5" s="63"/>
      <c r="AS5" s="118" t="s">
        <v>51</v>
      </c>
      <c r="AT5" s="64" t="s">
        <v>52</v>
      </c>
      <c r="AU5" s="64"/>
      <c r="AV5" s="64">
        <f>SUM(BF:BF)</f>
        <v>0</v>
      </c>
    </row>
    <row r="6" spans="1:103" ht="22" thickBot="1" x14ac:dyDescent="0.3">
      <c r="B6" s="38"/>
      <c r="AR6" s="35"/>
    </row>
    <row r="7" spans="1:103" ht="37" customHeight="1" thickBot="1" x14ac:dyDescent="0.25">
      <c r="A7" s="13"/>
      <c r="B7" s="1"/>
      <c r="C7" s="190" t="s">
        <v>2</v>
      </c>
      <c r="D7" s="192" t="s">
        <v>3</v>
      </c>
      <c r="E7" s="193"/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4"/>
      <c r="AJ7" s="15"/>
      <c r="AK7" s="15"/>
      <c r="AL7" s="16"/>
      <c r="AM7" s="16"/>
      <c r="AN7" s="126"/>
      <c r="AO7" s="127"/>
      <c r="AP7" s="127"/>
      <c r="AQ7" s="131"/>
      <c r="AR7" s="14"/>
    </row>
    <row r="8" spans="1:103" ht="96" thickBot="1" x14ac:dyDescent="0.25">
      <c r="A8" s="13" t="s">
        <v>0</v>
      </c>
      <c r="B8" s="1" t="s">
        <v>1</v>
      </c>
      <c r="C8" s="191"/>
      <c r="D8" s="85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37" t="s">
        <v>5</v>
      </c>
      <c r="AJ8" s="23" t="s">
        <v>14</v>
      </c>
      <c r="AK8" s="41" t="s">
        <v>6</v>
      </c>
      <c r="AL8" s="19" t="s">
        <v>13</v>
      </c>
      <c r="AM8" s="20" t="s">
        <v>7</v>
      </c>
      <c r="AN8" s="42" t="s">
        <v>8</v>
      </c>
      <c r="AO8" s="22" t="s">
        <v>9</v>
      </c>
      <c r="AP8" s="67" t="s">
        <v>10</v>
      </c>
      <c r="AQ8" s="132" t="s">
        <v>27</v>
      </c>
      <c r="AR8" s="50" t="s">
        <v>15</v>
      </c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CD8" s="50" t="s">
        <v>21</v>
      </c>
      <c r="CE8" s="50" t="s">
        <v>22</v>
      </c>
      <c r="CF8" s="50" t="s">
        <v>23</v>
      </c>
      <c r="CG8" s="50" t="s">
        <v>24</v>
      </c>
      <c r="CH8" s="50" t="s">
        <v>25</v>
      </c>
      <c r="CI8" s="115" t="s">
        <v>26</v>
      </c>
      <c r="CJ8" s="50" t="s">
        <v>30</v>
      </c>
      <c r="CK8" s="50" t="s">
        <v>29</v>
      </c>
      <c r="CL8" s="50" t="s">
        <v>31</v>
      </c>
      <c r="CM8" s="50" t="s">
        <v>32</v>
      </c>
      <c r="CN8" s="116" t="s">
        <v>33</v>
      </c>
      <c r="CO8" s="116" t="s">
        <v>34</v>
      </c>
      <c r="CP8" s="116" t="s">
        <v>35</v>
      </c>
      <c r="CQ8" s="116" t="s">
        <v>36</v>
      </c>
      <c r="CS8" s="50" t="s">
        <v>37</v>
      </c>
      <c r="CT8" s="50" t="s">
        <v>38</v>
      </c>
      <c r="CU8" s="50" t="s">
        <v>39</v>
      </c>
      <c r="CV8" s="116" t="s">
        <v>40</v>
      </c>
      <c r="CW8" s="116" t="s">
        <v>41</v>
      </c>
      <c r="CX8" s="116" t="s">
        <v>42</v>
      </c>
      <c r="CY8" s="116" t="s">
        <v>43</v>
      </c>
    </row>
    <row r="9" spans="1:103" ht="21" thickTop="1" thickBot="1" x14ac:dyDescent="0.3">
      <c r="A9" s="189">
        <v>1</v>
      </c>
      <c r="B9" s="148"/>
      <c r="C9" s="91" t="s">
        <v>11</v>
      </c>
      <c r="D9" s="146"/>
      <c r="E9" s="146"/>
      <c r="F9" s="140"/>
      <c r="G9" s="144"/>
      <c r="H9" s="142"/>
      <c r="I9" s="142"/>
      <c r="J9" s="140"/>
      <c r="K9" s="140"/>
      <c r="L9" s="140"/>
      <c r="M9" s="140"/>
      <c r="N9" s="144"/>
      <c r="O9" s="142"/>
      <c r="P9" s="142"/>
      <c r="Q9" s="140"/>
      <c r="R9" s="140"/>
      <c r="S9" s="140"/>
      <c r="T9" s="158"/>
      <c r="U9" s="144"/>
      <c r="V9" s="142"/>
      <c r="W9" s="142"/>
      <c r="X9" s="140"/>
      <c r="Y9" s="140"/>
      <c r="Z9" s="144"/>
      <c r="AA9" s="144"/>
      <c r="AB9" s="140"/>
      <c r="AC9" s="142"/>
      <c r="AD9" s="142"/>
      <c r="AE9" s="142"/>
      <c r="AF9" s="142"/>
      <c r="AG9" s="140"/>
      <c r="AH9" s="156"/>
      <c r="AI9" s="154">
        <f>SUM(D9:AH9)</f>
        <v>0</v>
      </c>
      <c r="AJ9" s="86">
        <f>SUMIF(D11:AH11, "LL", D9:AH9) + SUMIF(D11:AH11, "LL", D10:AH10)</f>
        <v>0</v>
      </c>
      <c r="AK9" s="31"/>
      <c r="AL9" s="31"/>
      <c r="AM9" s="99">
        <f>SUMIF(D11:AH11, "CO", D9:AH9) + SUMIF(D11:AH11, "CO", D10:AH10)</f>
        <v>0</v>
      </c>
      <c r="AN9" s="51">
        <f>SUM(AI9:AM9)</f>
        <v>0</v>
      </c>
      <c r="AO9" s="106"/>
      <c r="AP9" s="68"/>
      <c r="AQ9" s="133"/>
      <c r="AR9" s="4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CD9" s="83">
        <f t="shared" ref="CD9:CD40" si="0">SUMIF(D11:AH11,"T",D9:AH9)</f>
        <v>0</v>
      </c>
      <c r="CE9" s="66">
        <f t="shared" ref="CE9:CE40" si="1">AP9*CD9</f>
        <v>0</v>
      </c>
      <c r="CF9" s="83">
        <f t="shared" ref="CF9:CF40" si="2">SUMIF(D11:AH11,"VS",D9:AH9)</f>
        <v>0</v>
      </c>
      <c r="CG9" s="65">
        <f t="shared" ref="CG9:CG40" si="3">AP9*CF9</f>
        <v>0</v>
      </c>
      <c r="CH9" s="83">
        <f t="shared" ref="CH9:CH40" si="4">SUMIF(D11:AH11,"Sb",D9:AH9)</f>
        <v>0</v>
      </c>
      <c r="CI9" s="65">
        <f t="shared" ref="CI9:CI40" si="5">AP9*CH9</f>
        <v>0</v>
      </c>
      <c r="CJ9" s="83">
        <f t="shared" ref="CJ9:CJ40" si="6">SUMIF(D11:AH11,"VB",D9:AH9)</f>
        <v>0</v>
      </c>
      <c r="CK9" s="65">
        <f t="shared" ref="CK9:CK40" si="7">AP9*CJ9</f>
        <v>0</v>
      </c>
      <c r="CL9" s="83">
        <f t="shared" ref="CL9:CL40" si="8">SUMIF(D11:AH11,"VCC",D9:AH9)</f>
        <v>0</v>
      </c>
      <c r="CM9" s="83">
        <f t="shared" ref="CM9:CM40" si="9">AP9*CL9</f>
        <v>0</v>
      </c>
      <c r="CN9" s="117">
        <f t="shared" ref="CN9:CN40" si="10">SUMIF(D11:AH11,"VB3",D9:AH9)</f>
        <v>0</v>
      </c>
      <c r="CO9" s="117">
        <f t="shared" ref="CO9:CO40" si="11">AP9*CN9</f>
        <v>0</v>
      </c>
      <c r="CP9" s="117">
        <f t="shared" ref="CP9:CP40" si="12">SUMIF(D11:AH11,"VB14",D9:AH9)</f>
        <v>0</v>
      </c>
      <c r="CQ9" s="117">
        <f t="shared" ref="CQ9:CQ40" si="13">AP9*CP9</f>
        <v>0</v>
      </c>
      <c r="CS9" s="83">
        <f>SUM(AS:AS)</f>
        <v>0</v>
      </c>
      <c r="CT9" s="83">
        <f>SUM(AU:AU)</f>
        <v>0</v>
      </c>
      <c r="CU9" s="83">
        <f>SUM(AW:AW)</f>
        <v>0</v>
      </c>
      <c r="CV9" s="117">
        <f>SUM(AY:AY)</f>
        <v>0</v>
      </c>
      <c r="CW9" s="117">
        <f>SUM(BA:BA)</f>
        <v>0</v>
      </c>
      <c r="CX9" s="117">
        <f>SUM(BC:BC)</f>
        <v>0</v>
      </c>
      <c r="CY9" s="117">
        <f>SUM(BE:BE)</f>
        <v>0</v>
      </c>
    </row>
    <row r="10" spans="1:103" ht="20" thickBot="1" x14ac:dyDescent="0.3">
      <c r="A10" s="152"/>
      <c r="B10" s="149"/>
      <c r="C10" s="3" t="s">
        <v>12</v>
      </c>
      <c r="D10" s="147"/>
      <c r="E10" s="147"/>
      <c r="F10" s="141"/>
      <c r="G10" s="145"/>
      <c r="H10" s="143"/>
      <c r="I10" s="143"/>
      <c r="J10" s="141"/>
      <c r="K10" s="141"/>
      <c r="L10" s="141"/>
      <c r="M10" s="141"/>
      <c r="N10" s="145"/>
      <c r="O10" s="143"/>
      <c r="P10" s="143"/>
      <c r="Q10" s="141"/>
      <c r="R10" s="141"/>
      <c r="S10" s="141"/>
      <c r="T10" s="159"/>
      <c r="U10" s="145"/>
      <c r="V10" s="143"/>
      <c r="W10" s="143"/>
      <c r="X10" s="141"/>
      <c r="Y10" s="141"/>
      <c r="Z10" s="145"/>
      <c r="AA10" s="145"/>
      <c r="AB10" s="141"/>
      <c r="AC10" s="143"/>
      <c r="AD10" s="143"/>
      <c r="AE10" s="143"/>
      <c r="AF10" s="143"/>
      <c r="AG10" s="141"/>
      <c r="AH10" s="157"/>
      <c r="AI10" s="155"/>
      <c r="AJ10" s="11"/>
      <c r="AK10" s="11"/>
      <c r="AL10" s="11"/>
      <c r="AM10" s="11"/>
      <c r="AN10" s="52"/>
      <c r="AO10" s="24"/>
      <c r="AP10" s="69"/>
      <c r="AQ10" s="133"/>
      <c r="AR10" s="4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CD10" s="83">
        <f t="shared" si="0"/>
        <v>0</v>
      </c>
      <c r="CE10" s="66">
        <f t="shared" si="1"/>
        <v>0</v>
      </c>
      <c r="CF10" s="83">
        <f t="shared" si="2"/>
        <v>0</v>
      </c>
      <c r="CG10" s="65">
        <f t="shared" si="3"/>
        <v>0</v>
      </c>
      <c r="CH10" s="83">
        <f t="shared" si="4"/>
        <v>0</v>
      </c>
      <c r="CI10" s="65">
        <f t="shared" si="5"/>
        <v>0</v>
      </c>
      <c r="CJ10" s="83">
        <f t="shared" si="6"/>
        <v>0</v>
      </c>
      <c r="CK10" s="65">
        <f t="shared" si="7"/>
        <v>0</v>
      </c>
      <c r="CL10" s="83">
        <f t="shared" si="8"/>
        <v>0</v>
      </c>
      <c r="CM10" s="83">
        <f t="shared" si="9"/>
        <v>0</v>
      </c>
      <c r="CN10" s="117">
        <f t="shared" si="10"/>
        <v>0</v>
      </c>
      <c r="CO10" s="117">
        <f t="shared" si="11"/>
        <v>0</v>
      </c>
      <c r="CP10" s="117">
        <f t="shared" si="12"/>
        <v>0</v>
      </c>
      <c r="CQ10" s="117">
        <f t="shared" si="13"/>
        <v>0</v>
      </c>
      <c r="CS10" s="83">
        <f t="shared" ref="CS10:CS41" si="14">SUMIF(K12:AO12, "T", K10:AO10) + SUMIF(K12:AO12, "T", K11:AO11)</f>
        <v>0</v>
      </c>
      <c r="CT10" s="83">
        <f t="shared" ref="CT10:CT41" si="15">SUMIF(L12:AP12, "T", L10:AP10) + SUMIF(L12:AP12, "T", L11:AP11)</f>
        <v>0</v>
      </c>
      <c r="CU10" s="83">
        <f t="shared" ref="CU10:CU41" si="16">SUMIF(M12:AQ12, "T", M10:AQ10) + SUMIF(M12:AQ12, "T", M11:AQ11)</f>
        <v>0</v>
      </c>
      <c r="CV10" s="117">
        <v>0</v>
      </c>
      <c r="CW10" s="117">
        <v>0</v>
      </c>
      <c r="CX10" s="117">
        <v>0</v>
      </c>
      <c r="CY10" s="117">
        <v>0</v>
      </c>
    </row>
    <row r="11" spans="1:103" ht="20" thickBot="1" x14ac:dyDescent="0.3">
      <c r="A11" s="188"/>
      <c r="B11" s="150"/>
      <c r="C11" s="92" t="s">
        <v>4</v>
      </c>
      <c r="D11" s="88"/>
      <c r="E11" s="88"/>
      <c r="F11" s="88"/>
      <c r="G11" s="89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90"/>
      <c r="AI11" s="36"/>
      <c r="AJ11" s="34"/>
      <c r="AK11" s="34"/>
      <c r="AL11" s="34"/>
      <c r="AM11" s="34"/>
      <c r="AN11" s="53"/>
      <c r="AO11" s="25"/>
      <c r="AP11" s="70"/>
      <c r="AQ11" s="133"/>
      <c r="AR11" s="4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CD11" s="83">
        <f t="shared" si="0"/>
        <v>0</v>
      </c>
      <c r="CE11" s="66">
        <f t="shared" si="1"/>
        <v>0</v>
      </c>
      <c r="CF11" s="83">
        <f t="shared" si="2"/>
        <v>0</v>
      </c>
      <c r="CG11" s="65">
        <f t="shared" si="3"/>
        <v>0</v>
      </c>
      <c r="CH11" s="83">
        <f t="shared" si="4"/>
        <v>0</v>
      </c>
      <c r="CI11" s="65">
        <f t="shared" si="5"/>
        <v>0</v>
      </c>
      <c r="CJ11" s="83">
        <f t="shared" si="6"/>
        <v>0</v>
      </c>
      <c r="CK11" s="65">
        <f t="shared" si="7"/>
        <v>0</v>
      </c>
      <c r="CL11" s="83">
        <f t="shared" si="8"/>
        <v>0</v>
      </c>
      <c r="CM11" s="83">
        <f t="shared" si="9"/>
        <v>0</v>
      </c>
      <c r="CN11" s="117">
        <f t="shared" si="10"/>
        <v>0</v>
      </c>
      <c r="CO11" s="117">
        <f t="shared" si="11"/>
        <v>0</v>
      </c>
      <c r="CP11" s="117">
        <f t="shared" si="12"/>
        <v>0</v>
      </c>
      <c r="CQ11" s="117">
        <f t="shared" si="13"/>
        <v>0</v>
      </c>
      <c r="CS11" s="83">
        <f t="shared" si="14"/>
        <v>0</v>
      </c>
      <c r="CT11" s="83">
        <f t="shared" si="15"/>
        <v>0</v>
      </c>
      <c r="CU11" s="83">
        <f t="shared" si="16"/>
        <v>0</v>
      </c>
      <c r="CV11" s="117">
        <v>0</v>
      </c>
      <c r="CW11" s="117">
        <v>0</v>
      </c>
      <c r="CX11" s="117">
        <v>0</v>
      </c>
      <c r="CY11" s="117">
        <v>0</v>
      </c>
    </row>
    <row r="12" spans="1:103" ht="21" thickTop="1" thickBot="1" x14ac:dyDescent="0.3">
      <c r="A12" s="187">
        <v>2</v>
      </c>
      <c r="B12" s="148"/>
      <c r="C12" s="91" t="s">
        <v>11</v>
      </c>
      <c r="D12" s="146"/>
      <c r="E12" s="146"/>
      <c r="F12" s="140"/>
      <c r="G12" s="144"/>
      <c r="H12" s="142"/>
      <c r="I12" s="142"/>
      <c r="J12" s="140"/>
      <c r="K12" s="140"/>
      <c r="L12" s="140"/>
      <c r="M12" s="140"/>
      <c r="N12" s="144"/>
      <c r="O12" s="142"/>
      <c r="P12" s="142"/>
      <c r="Q12" s="140"/>
      <c r="R12" s="140"/>
      <c r="S12" s="140"/>
      <c r="T12" s="158"/>
      <c r="U12" s="144"/>
      <c r="V12" s="142"/>
      <c r="W12" s="142"/>
      <c r="X12" s="140"/>
      <c r="Y12" s="140"/>
      <c r="Z12" s="144"/>
      <c r="AA12" s="144"/>
      <c r="AB12" s="140"/>
      <c r="AC12" s="142"/>
      <c r="AD12" s="142"/>
      <c r="AE12" s="142"/>
      <c r="AF12" s="142"/>
      <c r="AG12" s="140"/>
      <c r="AH12" s="156"/>
      <c r="AI12" s="154">
        <f>SUM(D12:AH12)</f>
        <v>0</v>
      </c>
      <c r="AJ12" s="87">
        <f>SUMIF(D14:AH14, "LL", D12:AH12) + SUMIF(D14:AH14, "LL", D13:AH13)</f>
        <v>0</v>
      </c>
      <c r="AK12" s="39"/>
      <c r="AL12" s="39"/>
      <c r="AM12" s="100">
        <f>SUMIF(D14:AH14, "CO", D12:AH12) + SUMIF(D14:AH14, "CO", D13:AH13)</f>
        <v>0</v>
      </c>
      <c r="AN12" s="54">
        <f>SUM(AI12:AM12)</f>
        <v>0</v>
      </c>
      <c r="AO12" s="107"/>
      <c r="AP12" s="71"/>
      <c r="AQ12" s="133"/>
      <c r="AR12" s="4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20"/>
      <c r="BJ12" s="120"/>
      <c r="BK12" s="120"/>
      <c r="BL12" s="120"/>
      <c r="BM12" s="120"/>
      <c r="BN12" s="120"/>
      <c r="CD12" s="83">
        <f t="shared" si="0"/>
        <v>0</v>
      </c>
      <c r="CE12" s="66">
        <f t="shared" si="1"/>
        <v>0</v>
      </c>
      <c r="CF12" s="83">
        <f t="shared" si="2"/>
        <v>0</v>
      </c>
      <c r="CG12" s="65">
        <f t="shared" si="3"/>
        <v>0</v>
      </c>
      <c r="CH12" s="83">
        <f t="shared" si="4"/>
        <v>0</v>
      </c>
      <c r="CI12" s="65">
        <f t="shared" si="5"/>
        <v>0</v>
      </c>
      <c r="CJ12" s="83">
        <f t="shared" si="6"/>
        <v>0</v>
      </c>
      <c r="CK12" s="65">
        <f t="shared" si="7"/>
        <v>0</v>
      </c>
      <c r="CL12" s="83">
        <f t="shared" si="8"/>
        <v>0</v>
      </c>
      <c r="CM12" s="83">
        <f t="shared" si="9"/>
        <v>0</v>
      </c>
      <c r="CN12" s="117">
        <f t="shared" si="10"/>
        <v>0</v>
      </c>
      <c r="CO12" s="117">
        <f t="shared" si="11"/>
        <v>0</v>
      </c>
      <c r="CP12" s="117">
        <f t="shared" si="12"/>
        <v>0</v>
      </c>
      <c r="CQ12" s="117">
        <f t="shared" si="13"/>
        <v>0</v>
      </c>
      <c r="CS12" s="83">
        <f t="shared" si="14"/>
        <v>0</v>
      </c>
      <c r="CT12" s="83">
        <f t="shared" si="15"/>
        <v>0</v>
      </c>
      <c r="CU12" s="83">
        <f t="shared" si="16"/>
        <v>0</v>
      </c>
      <c r="CV12" s="117">
        <v>0</v>
      </c>
      <c r="CW12" s="117">
        <v>0</v>
      </c>
      <c r="CX12" s="117">
        <v>0</v>
      </c>
      <c r="CY12" s="117">
        <v>0</v>
      </c>
    </row>
    <row r="13" spans="1:103" ht="20" thickBot="1" x14ac:dyDescent="0.3">
      <c r="A13" s="152"/>
      <c r="B13" s="149"/>
      <c r="C13" s="3" t="s">
        <v>12</v>
      </c>
      <c r="D13" s="147"/>
      <c r="E13" s="147"/>
      <c r="F13" s="141"/>
      <c r="G13" s="145"/>
      <c r="H13" s="143"/>
      <c r="I13" s="143"/>
      <c r="J13" s="141"/>
      <c r="K13" s="141"/>
      <c r="L13" s="141"/>
      <c r="M13" s="141"/>
      <c r="N13" s="145"/>
      <c r="O13" s="143"/>
      <c r="P13" s="143"/>
      <c r="Q13" s="141"/>
      <c r="R13" s="141"/>
      <c r="S13" s="141"/>
      <c r="T13" s="159"/>
      <c r="U13" s="145"/>
      <c r="V13" s="143"/>
      <c r="W13" s="143"/>
      <c r="X13" s="141"/>
      <c r="Y13" s="141"/>
      <c r="Z13" s="145"/>
      <c r="AA13" s="145"/>
      <c r="AB13" s="141"/>
      <c r="AC13" s="143"/>
      <c r="AD13" s="143"/>
      <c r="AE13" s="143"/>
      <c r="AF13" s="143"/>
      <c r="AG13" s="141"/>
      <c r="AH13" s="157"/>
      <c r="AI13" s="155"/>
      <c r="AJ13" s="11"/>
      <c r="AK13" s="11"/>
      <c r="AL13" s="11"/>
      <c r="AM13" s="11"/>
      <c r="AN13" s="52"/>
      <c r="AO13" s="24"/>
      <c r="AP13" s="69"/>
      <c r="AQ13" s="133"/>
      <c r="AR13" s="43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CD13" s="83">
        <f t="shared" si="0"/>
        <v>0</v>
      </c>
      <c r="CE13" s="66">
        <f t="shared" si="1"/>
        <v>0</v>
      </c>
      <c r="CF13" s="83">
        <f t="shared" si="2"/>
        <v>0</v>
      </c>
      <c r="CG13" s="65">
        <f t="shared" si="3"/>
        <v>0</v>
      </c>
      <c r="CH13" s="83">
        <f t="shared" si="4"/>
        <v>0</v>
      </c>
      <c r="CI13" s="65">
        <f t="shared" si="5"/>
        <v>0</v>
      </c>
      <c r="CJ13" s="83">
        <f t="shared" si="6"/>
        <v>0</v>
      </c>
      <c r="CK13" s="65">
        <f t="shared" si="7"/>
        <v>0</v>
      </c>
      <c r="CL13" s="83">
        <f t="shared" si="8"/>
        <v>0</v>
      </c>
      <c r="CM13" s="83">
        <f t="shared" si="9"/>
        <v>0</v>
      </c>
      <c r="CN13" s="117">
        <f t="shared" si="10"/>
        <v>0</v>
      </c>
      <c r="CO13" s="117">
        <f t="shared" si="11"/>
        <v>0</v>
      </c>
      <c r="CP13" s="117">
        <f t="shared" si="12"/>
        <v>0</v>
      </c>
      <c r="CQ13" s="117">
        <f t="shared" si="13"/>
        <v>0</v>
      </c>
      <c r="CS13" s="83">
        <f t="shared" si="14"/>
        <v>0</v>
      </c>
      <c r="CT13" s="83">
        <f t="shared" si="15"/>
        <v>0</v>
      </c>
      <c r="CU13" s="83">
        <f t="shared" si="16"/>
        <v>0</v>
      </c>
      <c r="CV13" s="117">
        <v>0</v>
      </c>
      <c r="CW13" s="117">
        <v>0</v>
      </c>
      <c r="CX13" s="117">
        <v>0</v>
      </c>
      <c r="CY13" s="117">
        <v>0</v>
      </c>
    </row>
    <row r="14" spans="1:103" ht="20" thickBot="1" x14ac:dyDescent="0.3">
      <c r="A14" s="188"/>
      <c r="B14" s="150"/>
      <c r="C14" s="92" t="s">
        <v>4</v>
      </c>
      <c r="D14" s="88"/>
      <c r="E14" s="88"/>
      <c r="F14" s="88"/>
      <c r="G14" s="89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90"/>
      <c r="AI14" s="36"/>
      <c r="AJ14" s="34"/>
      <c r="AK14" s="34"/>
      <c r="AL14" s="34"/>
      <c r="AM14" s="34"/>
      <c r="AN14" s="53"/>
      <c r="AO14" s="25"/>
      <c r="AP14" s="70"/>
      <c r="AQ14" s="133"/>
      <c r="AR14" s="43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CD14" s="83">
        <f t="shared" si="0"/>
        <v>0</v>
      </c>
      <c r="CE14" s="66">
        <f t="shared" si="1"/>
        <v>0</v>
      </c>
      <c r="CF14" s="83">
        <f t="shared" si="2"/>
        <v>0</v>
      </c>
      <c r="CG14" s="65">
        <f t="shared" si="3"/>
        <v>0</v>
      </c>
      <c r="CH14" s="83">
        <f t="shared" si="4"/>
        <v>0</v>
      </c>
      <c r="CI14" s="65">
        <f t="shared" si="5"/>
        <v>0</v>
      </c>
      <c r="CJ14" s="83">
        <f t="shared" si="6"/>
        <v>0</v>
      </c>
      <c r="CK14" s="65">
        <f t="shared" si="7"/>
        <v>0</v>
      </c>
      <c r="CL14" s="83">
        <f t="shared" si="8"/>
        <v>0</v>
      </c>
      <c r="CM14" s="83">
        <f t="shared" si="9"/>
        <v>0</v>
      </c>
      <c r="CN14" s="117">
        <f t="shared" si="10"/>
        <v>0</v>
      </c>
      <c r="CO14" s="117">
        <f t="shared" si="11"/>
        <v>0</v>
      </c>
      <c r="CP14" s="117">
        <f t="shared" si="12"/>
        <v>0</v>
      </c>
      <c r="CQ14" s="117">
        <f t="shared" si="13"/>
        <v>0</v>
      </c>
      <c r="CS14" s="83">
        <f t="shared" si="14"/>
        <v>0</v>
      </c>
      <c r="CT14" s="83">
        <f t="shared" si="15"/>
        <v>0</v>
      </c>
      <c r="CU14" s="83">
        <f t="shared" si="16"/>
        <v>0</v>
      </c>
      <c r="CV14" s="117">
        <v>0</v>
      </c>
      <c r="CW14" s="117">
        <v>0</v>
      </c>
      <c r="CX14" s="117">
        <v>0</v>
      </c>
      <c r="CY14" s="117">
        <v>0</v>
      </c>
    </row>
    <row r="15" spans="1:103" ht="21" customHeight="1" thickTop="1" thickBot="1" x14ac:dyDescent="0.3">
      <c r="A15" s="197">
        <v>3</v>
      </c>
      <c r="B15" s="148"/>
      <c r="C15" s="91" t="s">
        <v>11</v>
      </c>
      <c r="D15" s="146"/>
      <c r="E15" s="146"/>
      <c r="F15" s="140"/>
      <c r="G15" s="144"/>
      <c r="H15" s="142"/>
      <c r="I15" s="142"/>
      <c r="J15" s="140"/>
      <c r="K15" s="140"/>
      <c r="L15" s="140"/>
      <c r="M15" s="140"/>
      <c r="N15" s="144"/>
      <c r="O15" s="142"/>
      <c r="P15" s="142"/>
      <c r="Q15" s="140"/>
      <c r="R15" s="140"/>
      <c r="S15" s="140"/>
      <c r="T15" s="158"/>
      <c r="U15" s="144"/>
      <c r="V15" s="142"/>
      <c r="W15" s="142"/>
      <c r="X15" s="140"/>
      <c r="Y15" s="140"/>
      <c r="Z15" s="144"/>
      <c r="AA15" s="144"/>
      <c r="AB15" s="140"/>
      <c r="AC15" s="142"/>
      <c r="AD15" s="142"/>
      <c r="AE15" s="142"/>
      <c r="AF15" s="142"/>
      <c r="AG15" s="140"/>
      <c r="AH15" s="156"/>
      <c r="AI15" s="154">
        <f t="shared" ref="AI15" si="17">SUM(D15:AH15)</f>
        <v>0</v>
      </c>
      <c r="AJ15" s="86">
        <f>SUMIF(D17:AH17, "LL", D15:AH15) + SUMIF(D17:AH17, "LL", D16:AH16)</f>
        <v>0</v>
      </c>
      <c r="AK15" s="32"/>
      <c r="AL15" s="8"/>
      <c r="AM15" s="99">
        <f t="shared" ref="AM15" si="18">SUMIF(D17:AH17, "CO", D15:AH15) + SUMIF(D17:AH17, "CO", D16:AH16)</f>
        <v>0</v>
      </c>
      <c r="AN15" s="55">
        <f>SUM(AI15:AM15)</f>
        <v>0</v>
      </c>
      <c r="AO15" s="8"/>
      <c r="AP15" s="72"/>
      <c r="AQ15" s="133"/>
      <c r="AR15" s="44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CD15" s="83">
        <f t="shared" si="0"/>
        <v>0</v>
      </c>
      <c r="CE15" s="66">
        <f t="shared" si="1"/>
        <v>0</v>
      </c>
      <c r="CF15" s="83">
        <f t="shared" si="2"/>
        <v>0</v>
      </c>
      <c r="CG15" s="65">
        <f t="shared" si="3"/>
        <v>0</v>
      </c>
      <c r="CH15" s="83">
        <f t="shared" si="4"/>
        <v>0</v>
      </c>
      <c r="CI15" s="65">
        <f t="shared" si="5"/>
        <v>0</v>
      </c>
      <c r="CJ15" s="83">
        <f t="shared" si="6"/>
        <v>0</v>
      </c>
      <c r="CK15" s="65">
        <f t="shared" si="7"/>
        <v>0</v>
      </c>
      <c r="CL15" s="83">
        <f t="shared" si="8"/>
        <v>0</v>
      </c>
      <c r="CM15" s="83">
        <f t="shared" si="9"/>
        <v>0</v>
      </c>
      <c r="CN15" s="117">
        <f t="shared" si="10"/>
        <v>0</v>
      </c>
      <c r="CO15" s="117">
        <f t="shared" si="11"/>
        <v>0</v>
      </c>
      <c r="CP15" s="117">
        <f t="shared" si="12"/>
        <v>0</v>
      </c>
      <c r="CQ15" s="117">
        <f t="shared" si="13"/>
        <v>0</v>
      </c>
      <c r="CS15" s="83">
        <f t="shared" si="14"/>
        <v>0</v>
      </c>
      <c r="CT15" s="83">
        <f t="shared" si="15"/>
        <v>0</v>
      </c>
      <c r="CU15" s="83">
        <f t="shared" si="16"/>
        <v>0</v>
      </c>
      <c r="CV15" s="117">
        <v>0</v>
      </c>
      <c r="CW15" s="117">
        <v>0</v>
      </c>
      <c r="CX15" s="117">
        <v>0</v>
      </c>
      <c r="CY15" s="117">
        <v>0</v>
      </c>
    </row>
    <row r="16" spans="1:103" ht="20" thickBot="1" x14ac:dyDescent="0.3">
      <c r="A16" s="198"/>
      <c r="B16" s="149"/>
      <c r="C16" s="3" t="s">
        <v>12</v>
      </c>
      <c r="D16" s="147"/>
      <c r="E16" s="147"/>
      <c r="F16" s="141"/>
      <c r="G16" s="145"/>
      <c r="H16" s="143"/>
      <c r="I16" s="143"/>
      <c r="J16" s="141"/>
      <c r="K16" s="141"/>
      <c r="L16" s="141"/>
      <c r="M16" s="141"/>
      <c r="N16" s="145"/>
      <c r="O16" s="143"/>
      <c r="P16" s="143"/>
      <c r="Q16" s="141"/>
      <c r="R16" s="141"/>
      <c r="S16" s="141"/>
      <c r="T16" s="159"/>
      <c r="U16" s="145"/>
      <c r="V16" s="143"/>
      <c r="W16" s="143"/>
      <c r="X16" s="141"/>
      <c r="Y16" s="141"/>
      <c r="Z16" s="145"/>
      <c r="AA16" s="145"/>
      <c r="AB16" s="141"/>
      <c r="AC16" s="143"/>
      <c r="AD16" s="143"/>
      <c r="AE16" s="143"/>
      <c r="AF16" s="143"/>
      <c r="AG16" s="141"/>
      <c r="AH16" s="157"/>
      <c r="AI16" s="155"/>
      <c r="AJ16" s="11"/>
      <c r="AK16" s="21"/>
      <c r="AL16" s="7"/>
      <c r="AM16" s="11"/>
      <c r="AN16" s="56"/>
      <c r="AO16" s="5"/>
      <c r="AP16" s="73"/>
      <c r="AQ16" s="133"/>
      <c r="AR16" s="5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CD16" s="83">
        <f t="shared" si="0"/>
        <v>0</v>
      </c>
      <c r="CE16" s="66">
        <f t="shared" si="1"/>
        <v>0</v>
      </c>
      <c r="CF16" s="83">
        <f t="shared" si="2"/>
        <v>0</v>
      </c>
      <c r="CG16" s="65">
        <f t="shared" si="3"/>
        <v>0</v>
      </c>
      <c r="CH16" s="83">
        <f t="shared" si="4"/>
        <v>0</v>
      </c>
      <c r="CI16" s="65">
        <f t="shared" si="5"/>
        <v>0</v>
      </c>
      <c r="CJ16" s="83">
        <f t="shared" si="6"/>
        <v>0</v>
      </c>
      <c r="CK16" s="65">
        <f t="shared" si="7"/>
        <v>0</v>
      </c>
      <c r="CL16" s="83">
        <f t="shared" si="8"/>
        <v>0</v>
      </c>
      <c r="CM16" s="83">
        <f t="shared" si="9"/>
        <v>0</v>
      </c>
      <c r="CN16" s="117">
        <f t="shared" si="10"/>
        <v>0</v>
      </c>
      <c r="CO16" s="117">
        <f t="shared" si="11"/>
        <v>0</v>
      </c>
      <c r="CP16" s="117">
        <f t="shared" si="12"/>
        <v>0</v>
      </c>
      <c r="CQ16" s="117">
        <f t="shared" si="13"/>
        <v>0</v>
      </c>
      <c r="CS16" s="83">
        <f t="shared" si="14"/>
        <v>0</v>
      </c>
      <c r="CT16" s="83">
        <f t="shared" si="15"/>
        <v>0</v>
      </c>
      <c r="CU16" s="83">
        <f t="shared" si="16"/>
        <v>0</v>
      </c>
      <c r="CV16" s="117">
        <v>0</v>
      </c>
      <c r="CW16" s="117">
        <v>0</v>
      </c>
      <c r="CX16" s="117">
        <v>0</v>
      </c>
      <c r="CY16" s="117">
        <v>0</v>
      </c>
    </row>
    <row r="17" spans="1:103" ht="20" thickBot="1" x14ac:dyDescent="0.3">
      <c r="A17" s="199"/>
      <c r="B17" s="150"/>
      <c r="C17" s="92" t="s">
        <v>4</v>
      </c>
      <c r="D17" s="88"/>
      <c r="E17" s="88"/>
      <c r="F17" s="88"/>
      <c r="G17" s="89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90"/>
      <c r="AI17" s="36"/>
      <c r="AJ17" s="34"/>
      <c r="AK17" s="33"/>
      <c r="AL17" s="28"/>
      <c r="AM17" s="34"/>
      <c r="AN17" s="57"/>
      <c r="AO17" s="30"/>
      <c r="AP17" s="74"/>
      <c r="AQ17" s="133"/>
      <c r="AR17" s="5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CD17" s="83">
        <f t="shared" si="0"/>
        <v>0</v>
      </c>
      <c r="CE17" s="66">
        <f t="shared" si="1"/>
        <v>0</v>
      </c>
      <c r="CF17" s="83">
        <f t="shared" si="2"/>
        <v>0</v>
      </c>
      <c r="CG17" s="65">
        <f t="shared" si="3"/>
        <v>0</v>
      </c>
      <c r="CH17" s="83">
        <f t="shared" si="4"/>
        <v>0</v>
      </c>
      <c r="CI17" s="65">
        <f t="shared" si="5"/>
        <v>0</v>
      </c>
      <c r="CJ17" s="83">
        <f t="shared" si="6"/>
        <v>0</v>
      </c>
      <c r="CK17" s="65">
        <f t="shared" si="7"/>
        <v>0</v>
      </c>
      <c r="CL17" s="83">
        <f t="shared" si="8"/>
        <v>0</v>
      </c>
      <c r="CM17" s="83">
        <f t="shared" si="9"/>
        <v>0</v>
      </c>
      <c r="CN17" s="117">
        <f t="shared" si="10"/>
        <v>0</v>
      </c>
      <c r="CO17" s="117">
        <f t="shared" si="11"/>
        <v>0</v>
      </c>
      <c r="CP17" s="117">
        <f t="shared" si="12"/>
        <v>0</v>
      </c>
      <c r="CQ17" s="117">
        <f t="shared" si="13"/>
        <v>0</v>
      </c>
      <c r="CS17" s="83">
        <f t="shared" si="14"/>
        <v>0</v>
      </c>
      <c r="CT17" s="83">
        <f t="shared" si="15"/>
        <v>0</v>
      </c>
      <c r="CU17" s="83">
        <f t="shared" si="16"/>
        <v>0</v>
      </c>
      <c r="CV17" s="117">
        <v>0</v>
      </c>
      <c r="CW17" s="117">
        <v>0</v>
      </c>
      <c r="CX17" s="117">
        <v>0</v>
      </c>
      <c r="CY17" s="117">
        <v>0</v>
      </c>
    </row>
    <row r="18" spans="1:103" ht="21" customHeight="1" thickTop="1" thickBot="1" x14ac:dyDescent="0.3">
      <c r="A18" s="194">
        <v>4</v>
      </c>
      <c r="B18" s="148"/>
      <c r="C18" s="91" t="s">
        <v>11</v>
      </c>
      <c r="D18" s="146"/>
      <c r="E18" s="146"/>
      <c r="F18" s="140"/>
      <c r="G18" s="144"/>
      <c r="H18" s="142"/>
      <c r="I18" s="142"/>
      <c r="J18" s="140"/>
      <c r="K18" s="140"/>
      <c r="L18" s="140"/>
      <c r="M18" s="140"/>
      <c r="N18" s="144"/>
      <c r="O18" s="142"/>
      <c r="P18" s="142"/>
      <c r="Q18" s="140"/>
      <c r="R18" s="140"/>
      <c r="S18" s="140"/>
      <c r="T18" s="158"/>
      <c r="U18" s="144"/>
      <c r="V18" s="142"/>
      <c r="W18" s="142"/>
      <c r="X18" s="140"/>
      <c r="Y18" s="140"/>
      <c r="Z18" s="144"/>
      <c r="AA18" s="144"/>
      <c r="AB18" s="140"/>
      <c r="AC18" s="142"/>
      <c r="AD18" s="142"/>
      <c r="AE18" s="142"/>
      <c r="AF18" s="142"/>
      <c r="AG18" s="140"/>
      <c r="AH18" s="156"/>
      <c r="AI18" s="154">
        <f t="shared" ref="AI18" si="19">SUM(D18:AH18)</f>
        <v>0</v>
      </c>
      <c r="AJ18" s="87">
        <f>SUMIF(D20:AH20, "LL", D18:AH18) + SUMIF(D20:AH20, "LL", D19:AH19)</f>
        <v>0</v>
      </c>
      <c r="AK18" s="12"/>
      <c r="AL18" s="18"/>
      <c r="AM18" s="100">
        <f t="shared" ref="AM18" si="20">SUMIF(D20:AH20, "CO", D18:AH18) + SUMIF(D20:AH20, "CO", D19:AH19)</f>
        <v>0</v>
      </c>
      <c r="AN18" s="58">
        <f>SUM(AI18:AM18)</f>
        <v>0</v>
      </c>
      <c r="AO18" s="17"/>
      <c r="AP18" s="75"/>
      <c r="AQ18" s="133"/>
      <c r="AR18" s="45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20"/>
      <c r="BJ18" s="120"/>
      <c r="BK18" s="120"/>
      <c r="BL18" s="120"/>
      <c r="BM18" s="120"/>
      <c r="BN18" s="120"/>
      <c r="CD18" s="83">
        <f t="shared" si="0"/>
        <v>0</v>
      </c>
      <c r="CE18" s="66">
        <f t="shared" si="1"/>
        <v>0</v>
      </c>
      <c r="CF18" s="83">
        <f t="shared" si="2"/>
        <v>0</v>
      </c>
      <c r="CG18" s="65">
        <f t="shared" si="3"/>
        <v>0</v>
      </c>
      <c r="CH18" s="83">
        <f t="shared" si="4"/>
        <v>0</v>
      </c>
      <c r="CI18" s="65">
        <f t="shared" si="5"/>
        <v>0</v>
      </c>
      <c r="CJ18" s="83">
        <f t="shared" si="6"/>
        <v>0</v>
      </c>
      <c r="CK18" s="65">
        <f t="shared" si="7"/>
        <v>0</v>
      </c>
      <c r="CL18" s="83">
        <f t="shared" si="8"/>
        <v>0</v>
      </c>
      <c r="CM18" s="83">
        <f t="shared" si="9"/>
        <v>0</v>
      </c>
      <c r="CN18" s="117">
        <f t="shared" si="10"/>
        <v>0</v>
      </c>
      <c r="CO18" s="117">
        <f t="shared" si="11"/>
        <v>0</v>
      </c>
      <c r="CP18" s="117">
        <f t="shared" si="12"/>
        <v>0</v>
      </c>
      <c r="CQ18" s="117">
        <f t="shared" si="13"/>
        <v>0</v>
      </c>
      <c r="CS18" s="83">
        <f t="shared" si="14"/>
        <v>0</v>
      </c>
      <c r="CT18" s="83">
        <f t="shared" si="15"/>
        <v>0</v>
      </c>
      <c r="CU18" s="83">
        <f t="shared" si="16"/>
        <v>0</v>
      </c>
      <c r="CV18" s="117">
        <v>0</v>
      </c>
      <c r="CW18" s="117">
        <v>0</v>
      </c>
      <c r="CX18" s="117">
        <v>0</v>
      </c>
      <c r="CY18" s="117">
        <v>0</v>
      </c>
    </row>
    <row r="19" spans="1:103" ht="20" thickBot="1" x14ac:dyDescent="0.3">
      <c r="A19" s="195"/>
      <c r="B19" s="149"/>
      <c r="C19" s="3" t="s">
        <v>12</v>
      </c>
      <c r="D19" s="147"/>
      <c r="E19" s="147"/>
      <c r="F19" s="141"/>
      <c r="G19" s="145"/>
      <c r="H19" s="143"/>
      <c r="I19" s="143"/>
      <c r="J19" s="141"/>
      <c r="K19" s="141"/>
      <c r="L19" s="141"/>
      <c r="M19" s="141"/>
      <c r="N19" s="145"/>
      <c r="O19" s="143"/>
      <c r="P19" s="143"/>
      <c r="Q19" s="141"/>
      <c r="R19" s="141"/>
      <c r="S19" s="141"/>
      <c r="T19" s="159"/>
      <c r="U19" s="145"/>
      <c r="V19" s="143"/>
      <c r="W19" s="143"/>
      <c r="X19" s="141"/>
      <c r="Y19" s="141"/>
      <c r="Z19" s="145"/>
      <c r="AA19" s="145"/>
      <c r="AB19" s="141"/>
      <c r="AC19" s="143"/>
      <c r="AD19" s="143"/>
      <c r="AE19" s="143"/>
      <c r="AF19" s="143"/>
      <c r="AG19" s="141"/>
      <c r="AH19" s="157"/>
      <c r="AI19" s="155"/>
      <c r="AJ19" s="11"/>
      <c r="AK19" s="10"/>
      <c r="AL19" s="7"/>
      <c r="AM19" s="11"/>
      <c r="AN19" s="59"/>
      <c r="AO19" s="5"/>
      <c r="AP19" s="73"/>
      <c r="AQ19" s="133"/>
      <c r="AR19" s="5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20"/>
      <c r="BE19" s="120"/>
      <c r="BF19" s="120"/>
      <c r="BG19" s="120"/>
      <c r="BH19" s="120"/>
      <c r="BI19" s="120"/>
      <c r="BJ19" s="120"/>
      <c r="BK19" s="120"/>
      <c r="BL19" s="120"/>
      <c r="BM19" s="120"/>
      <c r="BN19" s="120"/>
      <c r="CD19" s="83">
        <f t="shared" si="0"/>
        <v>0</v>
      </c>
      <c r="CE19" s="66">
        <f t="shared" si="1"/>
        <v>0</v>
      </c>
      <c r="CF19" s="83">
        <f t="shared" si="2"/>
        <v>0</v>
      </c>
      <c r="CG19" s="65">
        <f t="shared" si="3"/>
        <v>0</v>
      </c>
      <c r="CH19" s="83">
        <f t="shared" si="4"/>
        <v>0</v>
      </c>
      <c r="CI19" s="65">
        <f t="shared" si="5"/>
        <v>0</v>
      </c>
      <c r="CJ19" s="83">
        <f t="shared" si="6"/>
        <v>0</v>
      </c>
      <c r="CK19" s="65">
        <f t="shared" si="7"/>
        <v>0</v>
      </c>
      <c r="CL19" s="83">
        <f t="shared" si="8"/>
        <v>0</v>
      </c>
      <c r="CM19" s="83">
        <f t="shared" si="9"/>
        <v>0</v>
      </c>
      <c r="CN19" s="117">
        <f t="shared" si="10"/>
        <v>0</v>
      </c>
      <c r="CO19" s="117">
        <f t="shared" si="11"/>
        <v>0</v>
      </c>
      <c r="CP19" s="117">
        <f t="shared" si="12"/>
        <v>0</v>
      </c>
      <c r="CQ19" s="117">
        <f t="shared" si="13"/>
        <v>0</v>
      </c>
      <c r="CS19" s="83">
        <f t="shared" si="14"/>
        <v>0</v>
      </c>
      <c r="CT19" s="83">
        <f t="shared" si="15"/>
        <v>0</v>
      </c>
      <c r="CU19" s="83">
        <f t="shared" si="16"/>
        <v>0</v>
      </c>
      <c r="CV19" s="117">
        <v>0</v>
      </c>
      <c r="CW19" s="117">
        <v>0</v>
      </c>
      <c r="CX19" s="117">
        <v>0</v>
      </c>
      <c r="CY19" s="117">
        <v>0</v>
      </c>
    </row>
    <row r="20" spans="1:103" ht="20" thickBot="1" x14ac:dyDescent="0.3">
      <c r="A20" s="196"/>
      <c r="B20" s="150"/>
      <c r="C20" s="92" t="s">
        <v>4</v>
      </c>
      <c r="D20" s="88"/>
      <c r="E20" s="88"/>
      <c r="F20" s="88"/>
      <c r="G20" s="89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90"/>
      <c r="AI20" s="36"/>
      <c r="AJ20" s="34"/>
      <c r="AK20" s="29"/>
      <c r="AL20" s="28"/>
      <c r="AM20" s="34"/>
      <c r="AN20" s="60"/>
      <c r="AO20" s="30"/>
      <c r="AP20" s="74"/>
      <c r="AQ20" s="133"/>
      <c r="AR20" s="5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20"/>
      <c r="BJ20" s="120"/>
      <c r="BK20" s="120"/>
      <c r="BL20" s="120"/>
      <c r="BM20" s="120"/>
      <c r="BN20" s="120"/>
      <c r="CD20" s="83">
        <f t="shared" si="0"/>
        <v>0</v>
      </c>
      <c r="CE20" s="66">
        <f t="shared" si="1"/>
        <v>0</v>
      </c>
      <c r="CF20" s="83">
        <f t="shared" si="2"/>
        <v>0</v>
      </c>
      <c r="CG20" s="65">
        <f t="shared" si="3"/>
        <v>0</v>
      </c>
      <c r="CH20" s="83">
        <f t="shared" si="4"/>
        <v>0</v>
      </c>
      <c r="CI20" s="65">
        <f t="shared" si="5"/>
        <v>0</v>
      </c>
      <c r="CJ20" s="83">
        <f t="shared" si="6"/>
        <v>0</v>
      </c>
      <c r="CK20" s="65">
        <f t="shared" si="7"/>
        <v>0</v>
      </c>
      <c r="CL20" s="83">
        <f t="shared" si="8"/>
        <v>0</v>
      </c>
      <c r="CM20" s="83">
        <f t="shared" si="9"/>
        <v>0</v>
      </c>
      <c r="CN20" s="117">
        <f t="shared" si="10"/>
        <v>0</v>
      </c>
      <c r="CO20" s="117">
        <f t="shared" si="11"/>
        <v>0</v>
      </c>
      <c r="CP20" s="117">
        <f t="shared" si="12"/>
        <v>0</v>
      </c>
      <c r="CQ20" s="117">
        <f t="shared" si="13"/>
        <v>0</v>
      </c>
      <c r="CS20" s="83">
        <f t="shared" si="14"/>
        <v>0</v>
      </c>
      <c r="CT20" s="83">
        <f t="shared" si="15"/>
        <v>0</v>
      </c>
      <c r="CU20" s="83">
        <f t="shared" si="16"/>
        <v>0</v>
      </c>
      <c r="CV20" s="117">
        <v>0</v>
      </c>
      <c r="CW20" s="117">
        <v>0</v>
      </c>
      <c r="CX20" s="117">
        <v>0</v>
      </c>
      <c r="CY20" s="117">
        <v>0</v>
      </c>
    </row>
    <row r="21" spans="1:103" ht="22" customHeight="1" thickTop="1" thickBot="1" x14ac:dyDescent="0.3">
      <c r="A21" s="194">
        <v>5</v>
      </c>
      <c r="B21" s="148"/>
      <c r="C21" s="91" t="s">
        <v>11</v>
      </c>
      <c r="D21" s="146"/>
      <c r="E21" s="146"/>
      <c r="F21" s="140"/>
      <c r="G21" s="144"/>
      <c r="H21" s="142"/>
      <c r="I21" s="142"/>
      <c r="J21" s="140"/>
      <c r="K21" s="140"/>
      <c r="L21" s="140"/>
      <c r="M21" s="140"/>
      <c r="N21" s="144"/>
      <c r="O21" s="142"/>
      <c r="P21" s="142"/>
      <c r="Q21" s="140"/>
      <c r="R21" s="140"/>
      <c r="S21" s="140"/>
      <c r="T21" s="158"/>
      <c r="U21" s="144"/>
      <c r="V21" s="142"/>
      <c r="W21" s="142"/>
      <c r="X21" s="140"/>
      <c r="Y21" s="140"/>
      <c r="Z21" s="144"/>
      <c r="AA21" s="144"/>
      <c r="AB21" s="140"/>
      <c r="AC21" s="142"/>
      <c r="AD21" s="142"/>
      <c r="AE21" s="142"/>
      <c r="AF21" s="142"/>
      <c r="AG21" s="140"/>
      <c r="AH21" s="156"/>
      <c r="AI21" s="154">
        <f t="shared" ref="AI21" si="21">SUM(D21:AH21)</f>
        <v>0</v>
      </c>
      <c r="AJ21" s="86">
        <f>SUMIF(D23:AH23, "LL", D21:AH21) + SUMIF(D23:AH23, "LL", D22:AH22)</f>
        <v>0</v>
      </c>
      <c r="AK21" s="12"/>
      <c r="AL21" s="18"/>
      <c r="AM21" s="99">
        <f t="shared" ref="AM21" si="22">SUMIF(D23:AH23, "CO", D21:AH21) + SUMIF(D23:AH23, "CO", D22:AH22)</f>
        <v>0</v>
      </c>
      <c r="AN21" s="58">
        <f>SUM(AI21:AM21)</f>
        <v>0</v>
      </c>
      <c r="AO21" s="17"/>
      <c r="AP21" s="75"/>
      <c r="AQ21" s="133"/>
      <c r="AR21" s="6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120"/>
      <c r="BG21" s="120"/>
      <c r="BH21" s="120"/>
      <c r="BI21" s="120"/>
      <c r="BJ21" s="120"/>
      <c r="BK21" s="120"/>
      <c r="BL21" s="120"/>
      <c r="BM21" s="120"/>
      <c r="BN21" s="120"/>
      <c r="CD21" s="83">
        <f t="shared" si="0"/>
        <v>0</v>
      </c>
      <c r="CE21" s="66">
        <f t="shared" si="1"/>
        <v>0</v>
      </c>
      <c r="CF21" s="83">
        <f t="shared" si="2"/>
        <v>0</v>
      </c>
      <c r="CG21" s="65">
        <f t="shared" si="3"/>
        <v>0</v>
      </c>
      <c r="CH21" s="83">
        <f t="shared" si="4"/>
        <v>0</v>
      </c>
      <c r="CI21" s="65">
        <f t="shared" si="5"/>
        <v>0</v>
      </c>
      <c r="CJ21" s="83">
        <f t="shared" si="6"/>
        <v>0</v>
      </c>
      <c r="CK21" s="65">
        <f t="shared" si="7"/>
        <v>0</v>
      </c>
      <c r="CL21" s="83">
        <f t="shared" si="8"/>
        <v>0</v>
      </c>
      <c r="CM21" s="83">
        <f t="shared" si="9"/>
        <v>0</v>
      </c>
      <c r="CN21" s="117">
        <f t="shared" si="10"/>
        <v>0</v>
      </c>
      <c r="CO21" s="117">
        <f t="shared" si="11"/>
        <v>0</v>
      </c>
      <c r="CP21" s="117">
        <f t="shared" si="12"/>
        <v>0</v>
      </c>
      <c r="CQ21" s="117">
        <f t="shared" si="13"/>
        <v>0</v>
      </c>
      <c r="CS21" s="83">
        <f t="shared" si="14"/>
        <v>0</v>
      </c>
      <c r="CT21" s="83">
        <f t="shared" si="15"/>
        <v>0</v>
      </c>
      <c r="CU21" s="83">
        <f t="shared" si="16"/>
        <v>0</v>
      </c>
      <c r="CV21" s="117">
        <v>0</v>
      </c>
      <c r="CW21" s="117">
        <v>0</v>
      </c>
      <c r="CX21" s="117">
        <v>0</v>
      </c>
      <c r="CY21" s="117">
        <v>0</v>
      </c>
    </row>
    <row r="22" spans="1:103" ht="20" thickBot="1" x14ac:dyDescent="0.3">
      <c r="A22" s="195"/>
      <c r="B22" s="149"/>
      <c r="C22" s="3" t="s">
        <v>12</v>
      </c>
      <c r="D22" s="147"/>
      <c r="E22" s="147"/>
      <c r="F22" s="141"/>
      <c r="G22" s="145"/>
      <c r="H22" s="143"/>
      <c r="I22" s="143"/>
      <c r="J22" s="141"/>
      <c r="K22" s="141"/>
      <c r="L22" s="141"/>
      <c r="M22" s="141"/>
      <c r="N22" s="145"/>
      <c r="O22" s="143"/>
      <c r="P22" s="143"/>
      <c r="Q22" s="141"/>
      <c r="R22" s="141"/>
      <c r="S22" s="141"/>
      <c r="T22" s="159"/>
      <c r="U22" s="145"/>
      <c r="V22" s="143"/>
      <c r="W22" s="143"/>
      <c r="X22" s="141"/>
      <c r="Y22" s="141"/>
      <c r="Z22" s="145"/>
      <c r="AA22" s="145"/>
      <c r="AB22" s="141"/>
      <c r="AC22" s="143"/>
      <c r="AD22" s="143"/>
      <c r="AE22" s="143"/>
      <c r="AF22" s="143"/>
      <c r="AG22" s="141"/>
      <c r="AH22" s="157"/>
      <c r="AI22" s="155"/>
      <c r="AJ22" s="11"/>
      <c r="AK22" s="10"/>
      <c r="AL22" s="7"/>
      <c r="AM22" s="11"/>
      <c r="AN22" s="59"/>
      <c r="AO22" s="5"/>
      <c r="AP22" s="73"/>
      <c r="AQ22" s="133"/>
      <c r="AR22" s="5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120"/>
      <c r="BG22" s="120"/>
      <c r="BH22" s="120"/>
      <c r="BI22" s="120"/>
      <c r="BJ22" s="120"/>
      <c r="BK22" s="120"/>
      <c r="BL22" s="120"/>
      <c r="BM22" s="120"/>
      <c r="BN22" s="120"/>
      <c r="CD22" s="83">
        <f t="shared" si="0"/>
        <v>0</v>
      </c>
      <c r="CE22" s="66">
        <f t="shared" si="1"/>
        <v>0</v>
      </c>
      <c r="CF22" s="83">
        <f t="shared" si="2"/>
        <v>0</v>
      </c>
      <c r="CG22" s="65">
        <f t="shared" si="3"/>
        <v>0</v>
      </c>
      <c r="CH22" s="83">
        <f t="shared" si="4"/>
        <v>0</v>
      </c>
      <c r="CI22" s="65">
        <f t="shared" si="5"/>
        <v>0</v>
      </c>
      <c r="CJ22" s="83">
        <f t="shared" si="6"/>
        <v>0</v>
      </c>
      <c r="CK22" s="65">
        <f t="shared" si="7"/>
        <v>0</v>
      </c>
      <c r="CL22" s="83">
        <f t="shared" si="8"/>
        <v>0</v>
      </c>
      <c r="CM22" s="83">
        <f t="shared" si="9"/>
        <v>0</v>
      </c>
      <c r="CN22" s="117">
        <f t="shared" si="10"/>
        <v>0</v>
      </c>
      <c r="CO22" s="117">
        <f t="shared" si="11"/>
        <v>0</v>
      </c>
      <c r="CP22" s="117">
        <f t="shared" si="12"/>
        <v>0</v>
      </c>
      <c r="CQ22" s="117">
        <f t="shared" si="13"/>
        <v>0</v>
      </c>
      <c r="CS22" s="83">
        <f t="shared" si="14"/>
        <v>0</v>
      </c>
      <c r="CT22" s="83">
        <f t="shared" si="15"/>
        <v>0</v>
      </c>
      <c r="CU22" s="83">
        <f t="shared" si="16"/>
        <v>0</v>
      </c>
      <c r="CV22" s="117">
        <v>0</v>
      </c>
      <c r="CW22" s="117">
        <v>0</v>
      </c>
      <c r="CX22" s="117">
        <v>0</v>
      </c>
      <c r="CY22" s="117">
        <v>0</v>
      </c>
    </row>
    <row r="23" spans="1:103" ht="20" thickBot="1" x14ac:dyDescent="0.3">
      <c r="A23" s="196"/>
      <c r="B23" s="150"/>
      <c r="C23" s="92" t="s">
        <v>4</v>
      </c>
      <c r="D23" s="88"/>
      <c r="E23" s="88"/>
      <c r="F23" s="88"/>
      <c r="G23" s="89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90"/>
      <c r="AI23" s="36"/>
      <c r="AJ23" s="34"/>
      <c r="AK23" s="29"/>
      <c r="AL23" s="28"/>
      <c r="AM23" s="34"/>
      <c r="AN23" s="60"/>
      <c r="AO23" s="30"/>
      <c r="AP23" s="74"/>
      <c r="AQ23" s="133"/>
      <c r="AR23" s="5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20"/>
      <c r="BJ23" s="120"/>
      <c r="BK23" s="120"/>
      <c r="BL23" s="120"/>
      <c r="BM23" s="120"/>
      <c r="BN23" s="120"/>
      <c r="CD23" s="83">
        <f t="shared" si="0"/>
        <v>0</v>
      </c>
      <c r="CE23" s="66">
        <f t="shared" si="1"/>
        <v>0</v>
      </c>
      <c r="CF23" s="83">
        <f t="shared" si="2"/>
        <v>0</v>
      </c>
      <c r="CG23" s="65">
        <f t="shared" si="3"/>
        <v>0</v>
      </c>
      <c r="CH23" s="83">
        <f t="shared" si="4"/>
        <v>0</v>
      </c>
      <c r="CI23" s="65">
        <f t="shared" si="5"/>
        <v>0</v>
      </c>
      <c r="CJ23" s="83">
        <f t="shared" si="6"/>
        <v>0</v>
      </c>
      <c r="CK23" s="65">
        <f t="shared" si="7"/>
        <v>0</v>
      </c>
      <c r="CL23" s="83">
        <f t="shared" si="8"/>
        <v>0</v>
      </c>
      <c r="CM23" s="83">
        <f t="shared" si="9"/>
        <v>0</v>
      </c>
      <c r="CN23" s="117">
        <f t="shared" si="10"/>
        <v>0</v>
      </c>
      <c r="CO23" s="117">
        <f t="shared" si="11"/>
        <v>0</v>
      </c>
      <c r="CP23" s="117">
        <f t="shared" si="12"/>
        <v>0</v>
      </c>
      <c r="CQ23" s="117">
        <f t="shared" si="13"/>
        <v>0</v>
      </c>
      <c r="CS23" s="83">
        <f t="shared" si="14"/>
        <v>0</v>
      </c>
      <c r="CT23" s="83">
        <f t="shared" si="15"/>
        <v>0</v>
      </c>
      <c r="CU23" s="83">
        <f t="shared" si="16"/>
        <v>0</v>
      </c>
      <c r="CV23" s="117">
        <v>0</v>
      </c>
      <c r="CW23" s="117">
        <v>0</v>
      </c>
      <c r="CX23" s="117">
        <v>0</v>
      </c>
      <c r="CY23" s="117">
        <v>0</v>
      </c>
    </row>
    <row r="24" spans="1:103" ht="20" customHeight="1" thickTop="1" thickBot="1" x14ac:dyDescent="0.3">
      <c r="A24" s="194">
        <v>6</v>
      </c>
      <c r="B24" s="148"/>
      <c r="C24" s="91" t="s">
        <v>11</v>
      </c>
      <c r="D24" s="146"/>
      <c r="E24" s="146"/>
      <c r="F24" s="140"/>
      <c r="G24" s="144"/>
      <c r="H24" s="142"/>
      <c r="I24" s="142"/>
      <c r="J24" s="140"/>
      <c r="K24" s="140"/>
      <c r="L24" s="140"/>
      <c r="M24" s="140"/>
      <c r="N24" s="144"/>
      <c r="O24" s="142"/>
      <c r="P24" s="142"/>
      <c r="Q24" s="140"/>
      <c r="R24" s="140"/>
      <c r="S24" s="140"/>
      <c r="T24" s="158"/>
      <c r="U24" s="144"/>
      <c r="V24" s="142"/>
      <c r="W24" s="142"/>
      <c r="X24" s="140"/>
      <c r="Y24" s="140"/>
      <c r="Z24" s="144"/>
      <c r="AA24" s="144"/>
      <c r="AB24" s="140"/>
      <c r="AC24" s="142"/>
      <c r="AD24" s="142"/>
      <c r="AE24" s="142"/>
      <c r="AF24" s="142"/>
      <c r="AG24" s="140"/>
      <c r="AH24" s="156"/>
      <c r="AI24" s="154">
        <f t="shared" ref="AI24" si="23">SUM(D24:AH24)</f>
        <v>0</v>
      </c>
      <c r="AJ24" s="87">
        <f>SUMIF(D26:AH26, "LL", D24:AH24) + SUMIF(D26:AH26, "LL", D25:AH25)</f>
        <v>0</v>
      </c>
      <c r="AK24" s="18"/>
      <c r="AL24" s="18"/>
      <c r="AM24" s="100">
        <f t="shared" ref="AM24" si="24">SUMIF(D26:AH26, "CO", D24:AH24) + SUMIF(D26:AH26, "CO", D25:AH25)</f>
        <v>0</v>
      </c>
      <c r="AN24" s="58">
        <f>SUM(AI24:AM24)</f>
        <v>0</v>
      </c>
      <c r="AO24" s="17"/>
      <c r="AP24" s="76"/>
      <c r="AQ24" s="133"/>
      <c r="AR24" s="46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  <c r="BI24" s="120"/>
      <c r="BJ24" s="120"/>
      <c r="BK24" s="120"/>
      <c r="BL24" s="120"/>
      <c r="BM24" s="120"/>
      <c r="BN24" s="120"/>
      <c r="CD24" s="83">
        <f t="shared" si="0"/>
        <v>0</v>
      </c>
      <c r="CE24" s="66">
        <f t="shared" si="1"/>
        <v>0</v>
      </c>
      <c r="CF24" s="83">
        <f t="shared" si="2"/>
        <v>0</v>
      </c>
      <c r="CG24" s="65">
        <f t="shared" si="3"/>
        <v>0</v>
      </c>
      <c r="CH24" s="83">
        <f t="shared" si="4"/>
        <v>0</v>
      </c>
      <c r="CI24" s="65">
        <f t="shared" si="5"/>
        <v>0</v>
      </c>
      <c r="CJ24" s="83">
        <f t="shared" si="6"/>
        <v>0</v>
      </c>
      <c r="CK24" s="65">
        <f t="shared" si="7"/>
        <v>0</v>
      </c>
      <c r="CL24" s="83">
        <f t="shared" si="8"/>
        <v>0</v>
      </c>
      <c r="CM24" s="83">
        <f t="shared" si="9"/>
        <v>0</v>
      </c>
      <c r="CN24" s="117">
        <f t="shared" si="10"/>
        <v>0</v>
      </c>
      <c r="CO24" s="117">
        <f t="shared" si="11"/>
        <v>0</v>
      </c>
      <c r="CP24" s="117">
        <f t="shared" si="12"/>
        <v>0</v>
      </c>
      <c r="CQ24" s="117">
        <f t="shared" si="13"/>
        <v>0</v>
      </c>
      <c r="CS24" s="83">
        <f t="shared" si="14"/>
        <v>0</v>
      </c>
      <c r="CT24" s="83">
        <f t="shared" si="15"/>
        <v>0</v>
      </c>
      <c r="CU24" s="83">
        <f t="shared" si="16"/>
        <v>0</v>
      </c>
      <c r="CV24" s="117">
        <v>0</v>
      </c>
      <c r="CW24" s="117">
        <v>0</v>
      </c>
      <c r="CX24" s="117">
        <v>0</v>
      </c>
      <c r="CY24" s="117">
        <v>0</v>
      </c>
    </row>
    <row r="25" spans="1:103" ht="20" thickBot="1" x14ac:dyDescent="0.3">
      <c r="A25" s="195"/>
      <c r="B25" s="149"/>
      <c r="C25" s="3" t="s">
        <v>12</v>
      </c>
      <c r="D25" s="147"/>
      <c r="E25" s="147"/>
      <c r="F25" s="141"/>
      <c r="G25" s="145"/>
      <c r="H25" s="143"/>
      <c r="I25" s="143"/>
      <c r="J25" s="141"/>
      <c r="K25" s="141"/>
      <c r="L25" s="141"/>
      <c r="M25" s="141"/>
      <c r="N25" s="145"/>
      <c r="O25" s="143"/>
      <c r="P25" s="143"/>
      <c r="Q25" s="141"/>
      <c r="R25" s="141"/>
      <c r="S25" s="141"/>
      <c r="T25" s="159"/>
      <c r="U25" s="145"/>
      <c r="V25" s="143"/>
      <c r="W25" s="143"/>
      <c r="X25" s="141"/>
      <c r="Y25" s="141"/>
      <c r="Z25" s="145"/>
      <c r="AA25" s="145"/>
      <c r="AB25" s="141"/>
      <c r="AC25" s="143"/>
      <c r="AD25" s="143"/>
      <c r="AE25" s="143"/>
      <c r="AF25" s="143"/>
      <c r="AG25" s="141"/>
      <c r="AH25" s="157"/>
      <c r="AI25" s="155"/>
      <c r="AJ25" s="11"/>
      <c r="AK25" s="7"/>
      <c r="AL25" s="7"/>
      <c r="AM25" s="11"/>
      <c r="AN25" s="59"/>
      <c r="AO25" s="5"/>
      <c r="AP25" s="73"/>
      <c r="AQ25" s="133"/>
      <c r="AR25" s="5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CD25" s="83">
        <f t="shared" si="0"/>
        <v>0</v>
      </c>
      <c r="CE25" s="66">
        <f t="shared" si="1"/>
        <v>0</v>
      </c>
      <c r="CF25" s="83">
        <f t="shared" si="2"/>
        <v>0</v>
      </c>
      <c r="CG25" s="65">
        <f t="shared" si="3"/>
        <v>0</v>
      </c>
      <c r="CH25" s="83">
        <f t="shared" si="4"/>
        <v>0</v>
      </c>
      <c r="CI25" s="65">
        <f t="shared" si="5"/>
        <v>0</v>
      </c>
      <c r="CJ25" s="83">
        <f t="shared" si="6"/>
        <v>0</v>
      </c>
      <c r="CK25" s="65">
        <f t="shared" si="7"/>
        <v>0</v>
      </c>
      <c r="CL25" s="83">
        <f t="shared" si="8"/>
        <v>0</v>
      </c>
      <c r="CM25" s="83">
        <f t="shared" si="9"/>
        <v>0</v>
      </c>
      <c r="CN25" s="117">
        <f t="shared" si="10"/>
        <v>0</v>
      </c>
      <c r="CO25" s="117">
        <f t="shared" si="11"/>
        <v>0</v>
      </c>
      <c r="CP25" s="117">
        <f t="shared" si="12"/>
        <v>0</v>
      </c>
      <c r="CQ25" s="117">
        <f t="shared" si="13"/>
        <v>0</v>
      </c>
      <c r="CS25" s="83">
        <f t="shared" si="14"/>
        <v>0</v>
      </c>
      <c r="CT25" s="83">
        <f t="shared" si="15"/>
        <v>0</v>
      </c>
      <c r="CU25" s="83">
        <f t="shared" si="16"/>
        <v>0</v>
      </c>
      <c r="CV25" s="117">
        <v>0</v>
      </c>
      <c r="CW25" s="117">
        <v>0</v>
      </c>
      <c r="CX25" s="117">
        <v>0</v>
      </c>
      <c r="CY25" s="117">
        <v>0</v>
      </c>
    </row>
    <row r="26" spans="1:103" ht="20" thickBot="1" x14ac:dyDescent="0.3">
      <c r="A26" s="196"/>
      <c r="B26" s="150"/>
      <c r="C26" s="92" t="s">
        <v>4</v>
      </c>
      <c r="D26" s="88"/>
      <c r="E26" s="88"/>
      <c r="F26" s="88"/>
      <c r="G26" s="89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90"/>
      <c r="AI26" s="36"/>
      <c r="AJ26" s="34"/>
      <c r="AK26" s="28"/>
      <c r="AL26" s="28"/>
      <c r="AM26" s="34"/>
      <c r="AN26" s="60"/>
      <c r="AO26" s="30"/>
      <c r="AP26" s="74"/>
      <c r="AQ26" s="133"/>
      <c r="AR26" s="5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CD26" s="83">
        <f t="shared" si="0"/>
        <v>0</v>
      </c>
      <c r="CE26" s="66">
        <f t="shared" si="1"/>
        <v>0</v>
      </c>
      <c r="CF26" s="83">
        <f t="shared" si="2"/>
        <v>0</v>
      </c>
      <c r="CG26" s="65">
        <f t="shared" si="3"/>
        <v>0</v>
      </c>
      <c r="CH26" s="83">
        <f t="shared" si="4"/>
        <v>0</v>
      </c>
      <c r="CI26" s="65">
        <f t="shared" si="5"/>
        <v>0</v>
      </c>
      <c r="CJ26" s="83">
        <f t="shared" si="6"/>
        <v>0</v>
      </c>
      <c r="CK26" s="65">
        <f t="shared" si="7"/>
        <v>0</v>
      </c>
      <c r="CL26" s="83">
        <f t="shared" si="8"/>
        <v>0</v>
      </c>
      <c r="CM26" s="83">
        <f t="shared" si="9"/>
        <v>0</v>
      </c>
      <c r="CN26" s="117">
        <f t="shared" si="10"/>
        <v>0</v>
      </c>
      <c r="CO26" s="117">
        <f t="shared" si="11"/>
        <v>0</v>
      </c>
      <c r="CP26" s="117">
        <f t="shared" si="12"/>
        <v>0</v>
      </c>
      <c r="CQ26" s="117">
        <f t="shared" si="13"/>
        <v>0</v>
      </c>
      <c r="CS26" s="83">
        <f t="shared" si="14"/>
        <v>0</v>
      </c>
      <c r="CT26" s="83">
        <f t="shared" si="15"/>
        <v>0</v>
      </c>
      <c r="CU26" s="83">
        <f t="shared" si="16"/>
        <v>0</v>
      </c>
      <c r="CV26" s="117">
        <v>0</v>
      </c>
      <c r="CW26" s="117">
        <v>0</v>
      </c>
      <c r="CX26" s="117">
        <v>0</v>
      </c>
      <c r="CY26" s="117">
        <v>0</v>
      </c>
    </row>
    <row r="27" spans="1:103" ht="20" customHeight="1" thickTop="1" thickBot="1" x14ac:dyDescent="0.3">
      <c r="A27" s="194">
        <v>7</v>
      </c>
      <c r="B27" s="148"/>
      <c r="C27" s="91" t="s">
        <v>11</v>
      </c>
      <c r="D27" s="146"/>
      <c r="E27" s="146"/>
      <c r="F27" s="140"/>
      <c r="G27" s="144"/>
      <c r="H27" s="142"/>
      <c r="I27" s="142"/>
      <c r="J27" s="140"/>
      <c r="K27" s="140"/>
      <c r="L27" s="140"/>
      <c r="M27" s="140"/>
      <c r="N27" s="144"/>
      <c r="O27" s="142"/>
      <c r="P27" s="142"/>
      <c r="Q27" s="140"/>
      <c r="R27" s="140"/>
      <c r="S27" s="140"/>
      <c r="T27" s="158"/>
      <c r="U27" s="144"/>
      <c r="V27" s="142"/>
      <c r="W27" s="142"/>
      <c r="X27" s="140"/>
      <c r="Y27" s="140"/>
      <c r="Z27" s="144"/>
      <c r="AA27" s="144"/>
      <c r="AB27" s="140"/>
      <c r="AC27" s="142"/>
      <c r="AD27" s="142"/>
      <c r="AE27" s="142"/>
      <c r="AF27" s="142"/>
      <c r="AG27" s="140"/>
      <c r="AH27" s="156"/>
      <c r="AI27" s="154">
        <f t="shared" ref="AI27" si="25">SUM(D27:AH27)</f>
        <v>0</v>
      </c>
      <c r="AJ27" s="86">
        <f>SUMIF(D29:AH29, "LL", D27:AH27) + SUMIF(D29:AH29, "LL", D28:AH28)</f>
        <v>0</v>
      </c>
      <c r="AK27" s="18"/>
      <c r="AL27" s="26"/>
      <c r="AM27" s="99">
        <f t="shared" ref="AM27" si="26">SUMIF(D29:AH29, "CO", D27:AH27) + SUMIF(D29:AH29, "CO", D28:AH28)</f>
        <v>0</v>
      </c>
      <c r="AN27" s="61">
        <f>SUM(AI27:AM27)</f>
        <v>0</v>
      </c>
      <c r="AO27" s="27"/>
      <c r="AP27" s="77"/>
      <c r="AQ27" s="133"/>
      <c r="AR27" s="5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20"/>
      <c r="BJ27" s="120"/>
      <c r="BK27" s="120"/>
      <c r="BL27" s="120"/>
      <c r="BM27" s="120"/>
      <c r="BN27" s="120"/>
      <c r="CD27" s="83">
        <f t="shared" si="0"/>
        <v>0</v>
      </c>
      <c r="CE27" s="66">
        <f t="shared" si="1"/>
        <v>0</v>
      </c>
      <c r="CF27" s="83">
        <f t="shared" si="2"/>
        <v>0</v>
      </c>
      <c r="CG27" s="65">
        <f t="shared" si="3"/>
        <v>0</v>
      </c>
      <c r="CH27" s="83">
        <f t="shared" si="4"/>
        <v>0</v>
      </c>
      <c r="CI27" s="65">
        <f t="shared" si="5"/>
        <v>0</v>
      </c>
      <c r="CJ27" s="83">
        <f t="shared" si="6"/>
        <v>0</v>
      </c>
      <c r="CK27" s="65">
        <f t="shared" si="7"/>
        <v>0</v>
      </c>
      <c r="CL27" s="83">
        <f t="shared" si="8"/>
        <v>0</v>
      </c>
      <c r="CM27" s="83">
        <f t="shared" si="9"/>
        <v>0</v>
      </c>
      <c r="CN27" s="117">
        <f t="shared" si="10"/>
        <v>0</v>
      </c>
      <c r="CO27" s="117">
        <f t="shared" si="11"/>
        <v>0</v>
      </c>
      <c r="CP27" s="117">
        <f t="shared" si="12"/>
        <v>0</v>
      </c>
      <c r="CQ27" s="117">
        <f t="shared" si="13"/>
        <v>0</v>
      </c>
      <c r="CS27" s="83">
        <f t="shared" si="14"/>
        <v>0</v>
      </c>
      <c r="CT27" s="83">
        <f t="shared" si="15"/>
        <v>0</v>
      </c>
      <c r="CU27" s="83">
        <f t="shared" si="16"/>
        <v>0</v>
      </c>
      <c r="CV27" s="117">
        <v>0</v>
      </c>
      <c r="CW27" s="117">
        <v>0</v>
      </c>
      <c r="CX27" s="117">
        <v>0</v>
      </c>
      <c r="CY27" s="117">
        <v>0</v>
      </c>
    </row>
    <row r="28" spans="1:103" ht="22" thickBot="1" x14ac:dyDescent="0.3">
      <c r="A28" s="195"/>
      <c r="B28" s="149"/>
      <c r="C28" s="3" t="s">
        <v>12</v>
      </c>
      <c r="D28" s="147"/>
      <c r="E28" s="147"/>
      <c r="F28" s="141"/>
      <c r="G28" s="145"/>
      <c r="H28" s="143"/>
      <c r="I28" s="143"/>
      <c r="J28" s="141"/>
      <c r="K28" s="141"/>
      <c r="L28" s="141"/>
      <c r="M28" s="141"/>
      <c r="N28" s="145"/>
      <c r="O28" s="143"/>
      <c r="P28" s="143"/>
      <c r="Q28" s="141"/>
      <c r="R28" s="141"/>
      <c r="S28" s="141"/>
      <c r="T28" s="159"/>
      <c r="U28" s="145"/>
      <c r="V28" s="143"/>
      <c r="W28" s="143"/>
      <c r="X28" s="141"/>
      <c r="Y28" s="141"/>
      <c r="Z28" s="145"/>
      <c r="AA28" s="145"/>
      <c r="AB28" s="141"/>
      <c r="AC28" s="143"/>
      <c r="AD28" s="143"/>
      <c r="AE28" s="143"/>
      <c r="AF28" s="143"/>
      <c r="AG28" s="141"/>
      <c r="AH28" s="157"/>
      <c r="AI28" s="155"/>
      <c r="AJ28" s="11"/>
      <c r="AK28" s="7"/>
      <c r="AL28" s="7"/>
      <c r="AM28" s="11"/>
      <c r="AN28" s="59"/>
      <c r="AO28" s="5"/>
      <c r="AP28" s="78"/>
      <c r="AQ28" s="133"/>
      <c r="AR28" s="5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120"/>
      <c r="BG28" s="120"/>
      <c r="BH28" s="120"/>
      <c r="BI28" s="120"/>
      <c r="BJ28" s="120"/>
      <c r="BK28" s="120"/>
      <c r="BL28" s="120"/>
      <c r="BM28" s="120"/>
      <c r="BN28" s="120"/>
      <c r="CD28" s="83">
        <f t="shared" si="0"/>
        <v>0</v>
      </c>
      <c r="CE28" s="66">
        <f t="shared" si="1"/>
        <v>0</v>
      </c>
      <c r="CF28" s="83">
        <f t="shared" si="2"/>
        <v>0</v>
      </c>
      <c r="CG28" s="65">
        <f t="shared" si="3"/>
        <v>0</v>
      </c>
      <c r="CH28" s="83">
        <f t="shared" si="4"/>
        <v>0</v>
      </c>
      <c r="CI28" s="65">
        <f t="shared" si="5"/>
        <v>0</v>
      </c>
      <c r="CJ28" s="83">
        <f t="shared" si="6"/>
        <v>0</v>
      </c>
      <c r="CK28" s="65">
        <f t="shared" si="7"/>
        <v>0</v>
      </c>
      <c r="CL28" s="83">
        <f t="shared" si="8"/>
        <v>0</v>
      </c>
      <c r="CM28" s="83">
        <f t="shared" si="9"/>
        <v>0</v>
      </c>
      <c r="CN28" s="117">
        <f t="shared" si="10"/>
        <v>0</v>
      </c>
      <c r="CO28" s="117">
        <f t="shared" si="11"/>
        <v>0</v>
      </c>
      <c r="CP28" s="117">
        <f t="shared" si="12"/>
        <v>0</v>
      </c>
      <c r="CQ28" s="117">
        <f t="shared" si="13"/>
        <v>0</v>
      </c>
      <c r="CS28" s="83">
        <f t="shared" si="14"/>
        <v>0</v>
      </c>
      <c r="CT28" s="83">
        <f t="shared" si="15"/>
        <v>0</v>
      </c>
      <c r="CU28" s="83">
        <f t="shared" si="16"/>
        <v>0</v>
      </c>
      <c r="CV28" s="117">
        <v>0</v>
      </c>
      <c r="CW28" s="117">
        <v>0</v>
      </c>
      <c r="CX28" s="117">
        <v>0</v>
      </c>
      <c r="CY28" s="117">
        <v>0</v>
      </c>
    </row>
    <row r="29" spans="1:103" ht="20" thickBot="1" x14ac:dyDescent="0.3">
      <c r="A29" s="196"/>
      <c r="B29" s="150"/>
      <c r="C29" s="92" t="s">
        <v>4</v>
      </c>
      <c r="D29" s="88"/>
      <c r="E29" s="88"/>
      <c r="F29" s="88"/>
      <c r="G29" s="89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90"/>
      <c r="AI29" s="36"/>
      <c r="AJ29" s="34"/>
      <c r="AK29" s="28"/>
      <c r="AL29" s="28"/>
      <c r="AM29" s="34"/>
      <c r="AN29" s="60"/>
      <c r="AO29" s="30"/>
      <c r="AP29" s="74"/>
      <c r="AQ29" s="133"/>
      <c r="AR29" s="5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120"/>
      <c r="BG29" s="120"/>
      <c r="BH29" s="120"/>
      <c r="BI29" s="120"/>
      <c r="BJ29" s="120"/>
      <c r="BK29" s="120"/>
      <c r="BL29" s="120"/>
      <c r="BM29" s="120"/>
      <c r="BN29" s="120"/>
      <c r="CD29" s="83">
        <f t="shared" si="0"/>
        <v>0</v>
      </c>
      <c r="CE29" s="66">
        <f t="shared" si="1"/>
        <v>0</v>
      </c>
      <c r="CF29" s="83">
        <f t="shared" si="2"/>
        <v>0</v>
      </c>
      <c r="CG29" s="65">
        <f t="shared" si="3"/>
        <v>0</v>
      </c>
      <c r="CH29" s="83">
        <f t="shared" si="4"/>
        <v>0</v>
      </c>
      <c r="CI29" s="65">
        <f t="shared" si="5"/>
        <v>0</v>
      </c>
      <c r="CJ29" s="83">
        <f t="shared" si="6"/>
        <v>0</v>
      </c>
      <c r="CK29" s="65">
        <f t="shared" si="7"/>
        <v>0</v>
      </c>
      <c r="CL29" s="83">
        <f t="shared" si="8"/>
        <v>0</v>
      </c>
      <c r="CM29" s="83">
        <f t="shared" si="9"/>
        <v>0</v>
      </c>
      <c r="CN29" s="117">
        <f t="shared" si="10"/>
        <v>0</v>
      </c>
      <c r="CO29" s="117">
        <f t="shared" si="11"/>
        <v>0</v>
      </c>
      <c r="CP29" s="117">
        <f t="shared" si="12"/>
        <v>0</v>
      </c>
      <c r="CQ29" s="117">
        <f t="shared" si="13"/>
        <v>0</v>
      </c>
      <c r="CS29" s="83">
        <f t="shared" si="14"/>
        <v>0</v>
      </c>
      <c r="CT29" s="83">
        <f t="shared" si="15"/>
        <v>0</v>
      </c>
      <c r="CU29" s="83">
        <f t="shared" si="16"/>
        <v>0</v>
      </c>
      <c r="CV29" s="117">
        <v>0</v>
      </c>
      <c r="CW29" s="117">
        <v>0</v>
      </c>
      <c r="CX29" s="117">
        <v>0</v>
      </c>
      <c r="CY29" s="117">
        <v>0</v>
      </c>
    </row>
    <row r="30" spans="1:103" ht="20" customHeight="1" thickTop="1" thickBot="1" x14ac:dyDescent="0.3">
      <c r="A30" s="194">
        <v>8</v>
      </c>
      <c r="B30" s="148"/>
      <c r="C30" s="91" t="s">
        <v>11</v>
      </c>
      <c r="D30" s="146"/>
      <c r="E30" s="146"/>
      <c r="F30" s="140"/>
      <c r="G30" s="144"/>
      <c r="H30" s="142"/>
      <c r="I30" s="142"/>
      <c r="J30" s="140"/>
      <c r="K30" s="140"/>
      <c r="L30" s="140"/>
      <c r="M30" s="140"/>
      <c r="N30" s="144"/>
      <c r="O30" s="142"/>
      <c r="P30" s="142"/>
      <c r="Q30" s="140"/>
      <c r="R30" s="140"/>
      <c r="S30" s="140"/>
      <c r="T30" s="158"/>
      <c r="U30" s="144"/>
      <c r="V30" s="142"/>
      <c r="W30" s="142"/>
      <c r="X30" s="140"/>
      <c r="Y30" s="140"/>
      <c r="Z30" s="144"/>
      <c r="AA30" s="144"/>
      <c r="AB30" s="140"/>
      <c r="AC30" s="142"/>
      <c r="AD30" s="142"/>
      <c r="AE30" s="142"/>
      <c r="AF30" s="142"/>
      <c r="AG30" s="140"/>
      <c r="AH30" s="156"/>
      <c r="AI30" s="154">
        <f t="shared" ref="AI30" si="27">SUM(D30:AH30)</f>
        <v>0</v>
      </c>
      <c r="AJ30" s="87">
        <f>SUMIF(D32:AH32, "LL", D30:AH30) + SUMIF(D32:AH32, "LL", D31:AH31)</f>
        <v>0</v>
      </c>
      <c r="AK30" s="18"/>
      <c r="AL30" s="26"/>
      <c r="AM30" s="100">
        <f t="shared" ref="AM30" si="28">SUMIF(D32:AH32, "CO", D30:AH30) + SUMIF(D32:AH32, "CO", D31:AH31)</f>
        <v>0</v>
      </c>
      <c r="AN30" s="61">
        <f>SUM(AI30:AM30)</f>
        <v>0</v>
      </c>
      <c r="AO30" s="27"/>
      <c r="AP30" s="77"/>
      <c r="AQ30" s="133"/>
      <c r="AR30" s="5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120"/>
      <c r="BG30" s="120"/>
      <c r="BH30" s="120"/>
      <c r="BI30" s="120"/>
      <c r="BJ30" s="120"/>
      <c r="BK30" s="120"/>
      <c r="BL30" s="120"/>
      <c r="BM30" s="120"/>
      <c r="BN30" s="120"/>
      <c r="CD30" s="83">
        <f t="shared" si="0"/>
        <v>0</v>
      </c>
      <c r="CE30" s="66">
        <f t="shared" si="1"/>
        <v>0</v>
      </c>
      <c r="CF30" s="83">
        <f t="shared" si="2"/>
        <v>0</v>
      </c>
      <c r="CG30" s="65">
        <f t="shared" si="3"/>
        <v>0</v>
      </c>
      <c r="CH30" s="83">
        <f t="shared" si="4"/>
        <v>0</v>
      </c>
      <c r="CI30" s="65">
        <f t="shared" si="5"/>
        <v>0</v>
      </c>
      <c r="CJ30" s="83">
        <f t="shared" si="6"/>
        <v>0</v>
      </c>
      <c r="CK30" s="65">
        <f t="shared" si="7"/>
        <v>0</v>
      </c>
      <c r="CL30" s="83">
        <f t="shared" si="8"/>
        <v>0</v>
      </c>
      <c r="CM30" s="83">
        <f t="shared" si="9"/>
        <v>0</v>
      </c>
      <c r="CN30" s="117">
        <f t="shared" si="10"/>
        <v>0</v>
      </c>
      <c r="CO30" s="117">
        <f t="shared" si="11"/>
        <v>0</v>
      </c>
      <c r="CP30" s="117">
        <f t="shared" si="12"/>
        <v>0</v>
      </c>
      <c r="CQ30" s="117">
        <f t="shared" si="13"/>
        <v>0</v>
      </c>
      <c r="CS30" s="83">
        <f t="shared" si="14"/>
        <v>0</v>
      </c>
      <c r="CT30" s="83">
        <f t="shared" si="15"/>
        <v>0</v>
      </c>
      <c r="CU30" s="83">
        <f t="shared" si="16"/>
        <v>0</v>
      </c>
      <c r="CV30" s="117">
        <v>0</v>
      </c>
      <c r="CW30" s="117">
        <v>0</v>
      </c>
      <c r="CX30" s="117">
        <v>0</v>
      </c>
      <c r="CY30" s="117">
        <v>0</v>
      </c>
    </row>
    <row r="31" spans="1:103" ht="22" thickBot="1" x14ac:dyDescent="0.3">
      <c r="A31" s="195"/>
      <c r="B31" s="149"/>
      <c r="C31" s="3" t="s">
        <v>12</v>
      </c>
      <c r="D31" s="147"/>
      <c r="E31" s="147"/>
      <c r="F31" s="141"/>
      <c r="G31" s="145"/>
      <c r="H31" s="143"/>
      <c r="I31" s="143"/>
      <c r="J31" s="141"/>
      <c r="K31" s="141"/>
      <c r="L31" s="141"/>
      <c r="M31" s="141"/>
      <c r="N31" s="145"/>
      <c r="O31" s="143"/>
      <c r="P31" s="143"/>
      <c r="Q31" s="141"/>
      <c r="R31" s="141"/>
      <c r="S31" s="141"/>
      <c r="T31" s="159"/>
      <c r="U31" s="145"/>
      <c r="V31" s="143"/>
      <c r="W31" s="143"/>
      <c r="X31" s="141"/>
      <c r="Y31" s="141"/>
      <c r="Z31" s="145"/>
      <c r="AA31" s="145"/>
      <c r="AB31" s="141"/>
      <c r="AC31" s="143"/>
      <c r="AD31" s="143"/>
      <c r="AE31" s="143"/>
      <c r="AF31" s="143"/>
      <c r="AG31" s="141"/>
      <c r="AH31" s="157"/>
      <c r="AI31" s="155"/>
      <c r="AJ31" s="11"/>
      <c r="AK31" s="7"/>
      <c r="AL31" s="7"/>
      <c r="AM31" s="11"/>
      <c r="AN31" s="59"/>
      <c r="AO31" s="5"/>
      <c r="AP31" s="78"/>
      <c r="AQ31" s="133"/>
      <c r="AR31" s="5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20"/>
      <c r="BE31" s="120"/>
      <c r="BF31" s="120"/>
      <c r="BG31" s="120"/>
      <c r="BH31" s="120"/>
      <c r="BI31" s="120"/>
      <c r="BJ31" s="120"/>
      <c r="BK31" s="120"/>
      <c r="BL31" s="120"/>
      <c r="BM31" s="120"/>
      <c r="BN31" s="120"/>
      <c r="CD31" s="83">
        <f t="shared" si="0"/>
        <v>0</v>
      </c>
      <c r="CE31" s="66">
        <f t="shared" si="1"/>
        <v>0</v>
      </c>
      <c r="CF31" s="83">
        <f t="shared" si="2"/>
        <v>0</v>
      </c>
      <c r="CG31" s="65">
        <f t="shared" si="3"/>
        <v>0</v>
      </c>
      <c r="CH31" s="83">
        <f t="shared" si="4"/>
        <v>0</v>
      </c>
      <c r="CI31" s="65">
        <f t="shared" si="5"/>
        <v>0</v>
      </c>
      <c r="CJ31" s="83">
        <f t="shared" si="6"/>
        <v>0</v>
      </c>
      <c r="CK31" s="65">
        <f t="shared" si="7"/>
        <v>0</v>
      </c>
      <c r="CL31" s="83">
        <f t="shared" si="8"/>
        <v>0</v>
      </c>
      <c r="CM31" s="83">
        <f t="shared" si="9"/>
        <v>0</v>
      </c>
      <c r="CN31" s="117">
        <f t="shared" si="10"/>
        <v>0</v>
      </c>
      <c r="CO31" s="117">
        <f t="shared" si="11"/>
        <v>0</v>
      </c>
      <c r="CP31" s="117">
        <f t="shared" si="12"/>
        <v>0</v>
      </c>
      <c r="CQ31" s="117">
        <f t="shared" si="13"/>
        <v>0</v>
      </c>
      <c r="CS31" s="83">
        <f t="shared" si="14"/>
        <v>0</v>
      </c>
      <c r="CT31" s="83">
        <f t="shared" si="15"/>
        <v>0</v>
      </c>
      <c r="CU31" s="83">
        <f t="shared" si="16"/>
        <v>0</v>
      </c>
      <c r="CV31" s="117">
        <v>0</v>
      </c>
      <c r="CW31" s="117">
        <v>0</v>
      </c>
      <c r="CX31" s="117">
        <v>0</v>
      </c>
      <c r="CY31" s="117">
        <v>0</v>
      </c>
    </row>
    <row r="32" spans="1:103" ht="20" thickBot="1" x14ac:dyDescent="0.3">
      <c r="A32" s="196"/>
      <c r="B32" s="150"/>
      <c r="C32" s="92" t="s">
        <v>4</v>
      </c>
      <c r="D32" s="88"/>
      <c r="E32" s="88"/>
      <c r="F32" s="88"/>
      <c r="G32" s="89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90"/>
      <c r="AI32" s="36"/>
      <c r="AJ32" s="34"/>
      <c r="AK32" s="28"/>
      <c r="AL32" s="28"/>
      <c r="AM32" s="34"/>
      <c r="AN32" s="60"/>
      <c r="AO32" s="30"/>
      <c r="AP32" s="74"/>
      <c r="AQ32" s="133"/>
      <c r="AR32" s="5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20"/>
      <c r="BE32" s="120"/>
      <c r="BF32" s="120"/>
      <c r="BG32" s="120"/>
      <c r="BH32" s="120"/>
      <c r="BI32" s="120"/>
      <c r="BJ32" s="120"/>
      <c r="BK32" s="120"/>
      <c r="BL32" s="120"/>
      <c r="BM32" s="120"/>
      <c r="BN32" s="120"/>
      <c r="CD32" s="83">
        <f t="shared" si="0"/>
        <v>0</v>
      </c>
      <c r="CE32" s="66">
        <f t="shared" si="1"/>
        <v>0</v>
      </c>
      <c r="CF32" s="83">
        <f t="shared" si="2"/>
        <v>0</v>
      </c>
      <c r="CG32" s="65">
        <f t="shared" si="3"/>
        <v>0</v>
      </c>
      <c r="CH32" s="83">
        <f t="shared" si="4"/>
        <v>0</v>
      </c>
      <c r="CI32" s="65">
        <f t="shared" si="5"/>
        <v>0</v>
      </c>
      <c r="CJ32" s="83">
        <f t="shared" si="6"/>
        <v>0</v>
      </c>
      <c r="CK32" s="65">
        <f t="shared" si="7"/>
        <v>0</v>
      </c>
      <c r="CL32" s="83">
        <f t="shared" si="8"/>
        <v>0</v>
      </c>
      <c r="CM32" s="83">
        <f t="shared" si="9"/>
        <v>0</v>
      </c>
      <c r="CN32" s="117">
        <f t="shared" si="10"/>
        <v>0</v>
      </c>
      <c r="CO32" s="117">
        <f t="shared" si="11"/>
        <v>0</v>
      </c>
      <c r="CP32" s="117">
        <f t="shared" si="12"/>
        <v>0</v>
      </c>
      <c r="CQ32" s="117">
        <f t="shared" si="13"/>
        <v>0</v>
      </c>
      <c r="CS32" s="83">
        <f t="shared" si="14"/>
        <v>0</v>
      </c>
      <c r="CT32" s="83">
        <f t="shared" si="15"/>
        <v>0</v>
      </c>
      <c r="CU32" s="83">
        <f t="shared" si="16"/>
        <v>0</v>
      </c>
      <c r="CV32" s="117">
        <v>0</v>
      </c>
      <c r="CW32" s="117">
        <v>0</v>
      </c>
      <c r="CX32" s="117">
        <v>0</v>
      </c>
      <c r="CY32" s="117">
        <v>0</v>
      </c>
    </row>
    <row r="33" spans="1:109" ht="20" customHeight="1" thickTop="1" thickBot="1" x14ac:dyDescent="0.3">
      <c r="A33" s="194">
        <v>9</v>
      </c>
      <c r="B33" s="148"/>
      <c r="C33" s="91" t="s">
        <v>11</v>
      </c>
      <c r="D33" s="146"/>
      <c r="E33" s="146"/>
      <c r="F33" s="140"/>
      <c r="G33" s="144"/>
      <c r="H33" s="142"/>
      <c r="I33" s="142"/>
      <c r="J33" s="140"/>
      <c r="K33" s="140"/>
      <c r="L33" s="140"/>
      <c r="M33" s="140"/>
      <c r="N33" s="144"/>
      <c r="O33" s="142"/>
      <c r="P33" s="142"/>
      <c r="Q33" s="140"/>
      <c r="R33" s="140"/>
      <c r="S33" s="140"/>
      <c r="T33" s="158"/>
      <c r="U33" s="144"/>
      <c r="V33" s="142"/>
      <c r="W33" s="142"/>
      <c r="X33" s="140"/>
      <c r="Y33" s="140"/>
      <c r="Z33" s="144"/>
      <c r="AA33" s="144"/>
      <c r="AB33" s="140"/>
      <c r="AC33" s="142"/>
      <c r="AD33" s="142"/>
      <c r="AE33" s="142"/>
      <c r="AF33" s="142"/>
      <c r="AG33" s="140"/>
      <c r="AH33" s="156"/>
      <c r="AI33" s="154">
        <f t="shared" ref="AI33" si="29">SUM(D33:AH33)</f>
        <v>0</v>
      </c>
      <c r="AJ33" s="86">
        <f>SUMIF(D35:AH35, "LL", D33:AH33) + SUMIF(D35:AH35, "LL", D34:AH34)</f>
        <v>0</v>
      </c>
      <c r="AK33" s="18"/>
      <c r="AL33" s="26"/>
      <c r="AM33" s="99">
        <f>SUMIF(D35:AH35, "CO", D33:AH33) + SUMIF(D35:AH35, "CO", D34:AH34)</f>
        <v>0</v>
      </c>
      <c r="AN33" s="61">
        <f>SUM(AI33:AM33)</f>
        <v>0</v>
      </c>
      <c r="AO33" s="27"/>
      <c r="AP33" s="77"/>
      <c r="AQ33" s="133"/>
      <c r="AR33" s="5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20"/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CD33" s="83">
        <f t="shared" si="0"/>
        <v>0</v>
      </c>
      <c r="CE33" s="66">
        <f t="shared" si="1"/>
        <v>0</v>
      </c>
      <c r="CF33" s="83">
        <f t="shared" si="2"/>
        <v>0</v>
      </c>
      <c r="CG33" s="65">
        <f t="shared" si="3"/>
        <v>0</v>
      </c>
      <c r="CH33" s="83">
        <f t="shared" si="4"/>
        <v>0</v>
      </c>
      <c r="CI33" s="65">
        <f t="shared" si="5"/>
        <v>0</v>
      </c>
      <c r="CJ33" s="83">
        <f t="shared" si="6"/>
        <v>0</v>
      </c>
      <c r="CK33" s="65">
        <f t="shared" si="7"/>
        <v>0</v>
      </c>
      <c r="CL33" s="83">
        <f t="shared" si="8"/>
        <v>0</v>
      </c>
      <c r="CM33" s="83">
        <f t="shared" si="9"/>
        <v>0</v>
      </c>
      <c r="CN33" s="117">
        <f t="shared" si="10"/>
        <v>0</v>
      </c>
      <c r="CO33" s="117">
        <f t="shared" si="11"/>
        <v>0</v>
      </c>
      <c r="CP33" s="117">
        <f t="shared" si="12"/>
        <v>0</v>
      </c>
      <c r="CQ33" s="117">
        <f t="shared" si="13"/>
        <v>0</v>
      </c>
      <c r="CS33" s="83">
        <f t="shared" si="14"/>
        <v>0</v>
      </c>
      <c r="CT33" s="83">
        <f t="shared" si="15"/>
        <v>0</v>
      </c>
      <c r="CU33" s="83">
        <f t="shared" si="16"/>
        <v>0</v>
      </c>
      <c r="CV33" s="117">
        <v>0</v>
      </c>
      <c r="CW33" s="117">
        <v>0</v>
      </c>
      <c r="CX33" s="117">
        <v>0</v>
      </c>
      <c r="CY33" s="117">
        <v>0</v>
      </c>
    </row>
    <row r="34" spans="1:109" ht="22" thickBot="1" x14ac:dyDescent="0.3">
      <c r="A34" s="195"/>
      <c r="B34" s="149"/>
      <c r="C34" s="3" t="s">
        <v>12</v>
      </c>
      <c r="D34" s="147"/>
      <c r="E34" s="147"/>
      <c r="F34" s="141"/>
      <c r="G34" s="145"/>
      <c r="H34" s="143"/>
      <c r="I34" s="143"/>
      <c r="J34" s="141"/>
      <c r="K34" s="141"/>
      <c r="L34" s="141"/>
      <c r="M34" s="141"/>
      <c r="N34" s="145"/>
      <c r="O34" s="143"/>
      <c r="P34" s="143"/>
      <c r="Q34" s="141"/>
      <c r="R34" s="141"/>
      <c r="S34" s="141"/>
      <c r="T34" s="159"/>
      <c r="U34" s="145"/>
      <c r="V34" s="143"/>
      <c r="W34" s="143"/>
      <c r="X34" s="141"/>
      <c r="Y34" s="141"/>
      <c r="Z34" s="145"/>
      <c r="AA34" s="145"/>
      <c r="AB34" s="141"/>
      <c r="AC34" s="143"/>
      <c r="AD34" s="143"/>
      <c r="AE34" s="143"/>
      <c r="AF34" s="143"/>
      <c r="AG34" s="141"/>
      <c r="AH34" s="157"/>
      <c r="AI34" s="155"/>
      <c r="AJ34" s="11"/>
      <c r="AK34" s="7"/>
      <c r="AL34" s="7"/>
      <c r="AM34" s="11"/>
      <c r="AN34" s="59"/>
      <c r="AO34" s="5"/>
      <c r="AP34" s="78"/>
      <c r="AQ34" s="133"/>
      <c r="AR34" s="5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20"/>
      <c r="BJ34" s="120"/>
      <c r="BK34" s="120"/>
      <c r="BL34" s="120"/>
      <c r="BM34" s="120"/>
      <c r="BN34" s="120"/>
      <c r="CD34" s="83">
        <f t="shared" si="0"/>
        <v>0</v>
      </c>
      <c r="CE34" s="66">
        <f t="shared" si="1"/>
        <v>0</v>
      </c>
      <c r="CF34" s="83">
        <f t="shared" si="2"/>
        <v>0</v>
      </c>
      <c r="CG34" s="65">
        <f t="shared" si="3"/>
        <v>0</v>
      </c>
      <c r="CH34" s="83">
        <f t="shared" si="4"/>
        <v>0</v>
      </c>
      <c r="CI34" s="65">
        <f t="shared" si="5"/>
        <v>0</v>
      </c>
      <c r="CJ34" s="83">
        <f t="shared" si="6"/>
        <v>0</v>
      </c>
      <c r="CK34" s="65">
        <f t="shared" si="7"/>
        <v>0</v>
      </c>
      <c r="CL34" s="83">
        <f t="shared" si="8"/>
        <v>0</v>
      </c>
      <c r="CM34" s="83">
        <f t="shared" si="9"/>
        <v>0</v>
      </c>
      <c r="CN34" s="117">
        <f t="shared" si="10"/>
        <v>0</v>
      </c>
      <c r="CO34" s="117">
        <f t="shared" si="11"/>
        <v>0</v>
      </c>
      <c r="CP34" s="117">
        <f t="shared" si="12"/>
        <v>0</v>
      </c>
      <c r="CQ34" s="117">
        <f t="shared" si="13"/>
        <v>0</v>
      </c>
      <c r="CS34" s="83">
        <f t="shared" si="14"/>
        <v>0</v>
      </c>
      <c r="CT34" s="83">
        <f t="shared" si="15"/>
        <v>0</v>
      </c>
      <c r="CU34" s="83">
        <f t="shared" si="16"/>
        <v>0</v>
      </c>
      <c r="CV34" s="117">
        <v>0</v>
      </c>
      <c r="CW34" s="117">
        <v>0</v>
      </c>
      <c r="CX34" s="117">
        <v>0</v>
      </c>
      <c r="CY34" s="117">
        <v>0</v>
      </c>
    </row>
    <row r="35" spans="1:109" ht="20" thickBot="1" x14ac:dyDescent="0.3">
      <c r="A35" s="196"/>
      <c r="B35" s="150"/>
      <c r="C35" s="92" t="s">
        <v>4</v>
      </c>
      <c r="D35" s="88"/>
      <c r="E35" s="88"/>
      <c r="F35" s="88"/>
      <c r="G35" s="89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90"/>
      <c r="AI35" s="36"/>
      <c r="AJ35" s="34"/>
      <c r="AK35" s="47"/>
      <c r="AL35" s="47"/>
      <c r="AM35" s="34"/>
      <c r="AN35" s="62"/>
      <c r="AO35" s="48"/>
      <c r="AP35" s="79"/>
      <c r="AQ35" s="134"/>
      <c r="AR35" s="5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CD35" s="83">
        <f t="shared" si="0"/>
        <v>0</v>
      </c>
      <c r="CE35" s="66">
        <f t="shared" si="1"/>
        <v>0</v>
      </c>
      <c r="CF35" s="83">
        <f t="shared" si="2"/>
        <v>0</v>
      </c>
      <c r="CG35" s="65">
        <f t="shared" si="3"/>
        <v>0</v>
      </c>
      <c r="CH35" s="83">
        <f t="shared" si="4"/>
        <v>0</v>
      </c>
      <c r="CI35" s="65">
        <f t="shared" si="5"/>
        <v>0</v>
      </c>
      <c r="CJ35" s="83">
        <f t="shared" si="6"/>
        <v>0</v>
      </c>
      <c r="CK35" s="65">
        <f t="shared" si="7"/>
        <v>0</v>
      </c>
      <c r="CL35" s="83">
        <f t="shared" si="8"/>
        <v>0</v>
      </c>
      <c r="CM35" s="83">
        <f t="shared" si="9"/>
        <v>0</v>
      </c>
      <c r="CN35" s="117">
        <f t="shared" si="10"/>
        <v>0</v>
      </c>
      <c r="CO35" s="117">
        <f t="shared" si="11"/>
        <v>0</v>
      </c>
      <c r="CP35" s="117">
        <f t="shared" si="12"/>
        <v>0</v>
      </c>
      <c r="CQ35" s="117">
        <f t="shared" si="13"/>
        <v>0</v>
      </c>
      <c r="CS35" s="83">
        <f t="shared" si="14"/>
        <v>0</v>
      </c>
      <c r="CT35" s="83">
        <f t="shared" si="15"/>
        <v>0</v>
      </c>
      <c r="CU35" s="83">
        <f t="shared" si="16"/>
        <v>0</v>
      </c>
      <c r="CV35" s="117">
        <v>0</v>
      </c>
      <c r="CW35" s="117">
        <v>0</v>
      </c>
      <c r="CX35" s="117">
        <v>0</v>
      </c>
      <c r="CY35" s="117">
        <v>0</v>
      </c>
    </row>
    <row r="36" spans="1:109" s="49" customFormat="1" ht="19" customHeight="1" thickTop="1" x14ac:dyDescent="0.25">
      <c r="A36" s="194">
        <v>10</v>
      </c>
      <c r="B36" s="148"/>
      <c r="C36" s="91" t="s">
        <v>11</v>
      </c>
      <c r="D36" s="146"/>
      <c r="E36" s="146"/>
      <c r="F36" s="140"/>
      <c r="G36" s="144"/>
      <c r="H36" s="142"/>
      <c r="I36" s="142"/>
      <c r="J36" s="140"/>
      <c r="K36" s="140"/>
      <c r="L36" s="140"/>
      <c r="M36" s="140"/>
      <c r="N36" s="144"/>
      <c r="O36" s="142"/>
      <c r="P36" s="142"/>
      <c r="Q36" s="140"/>
      <c r="R36" s="140"/>
      <c r="S36" s="140"/>
      <c r="T36" s="158"/>
      <c r="U36" s="144"/>
      <c r="V36" s="142"/>
      <c r="W36" s="142"/>
      <c r="X36" s="140"/>
      <c r="Y36" s="140"/>
      <c r="Z36" s="144"/>
      <c r="AA36" s="144"/>
      <c r="AB36" s="140"/>
      <c r="AC36" s="142"/>
      <c r="AD36" s="142"/>
      <c r="AE36" s="142"/>
      <c r="AF36" s="142"/>
      <c r="AG36" s="140"/>
      <c r="AH36" s="156"/>
      <c r="AI36" s="154">
        <f t="shared" ref="AI36" si="30">SUM(D36:AH36)</f>
        <v>0</v>
      </c>
      <c r="AJ36" s="87">
        <f>SUMIF(D38:AH38, "LL", D36:AH36) + SUMIF(D38:AH38, "LL", D37:AH37)</f>
        <v>0</v>
      </c>
      <c r="AK36" s="7"/>
      <c r="AL36" s="7"/>
      <c r="AM36" s="100">
        <f t="shared" ref="AM36" si="31">SUMIF(D38:AH38, "CO", D36:AH36) + SUMIF(D38:AH38, "CO", D37:AH37)</f>
        <v>0</v>
      </c>
      <c r="AN36" s="59">
        <f>SUM(AI36:AM36)</f>
        <v>0</v>
      </c>
      <c r="AO36" s="5"/>
      <c r="AP36" s="73"/>
      <c r="AQ36" s="135"/>
      <c r="AR36" s="5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20"/>
      <c r="BJ36" s="120"/>
      <c r="BK36" s="120"/>
      <c r="BL36" s="120"/>
      <c r="BM36" s="120"/>
      <c r="BN36" s="120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 s="83">
        <f t="shared" si="0"/>
        <v>0</v>
      </c>
      <c r="CE36" s="66">
        <f t="shared" si="1"/>
        <v>0</v>
      </c>
      <c r="CF36" s="83">
        <f t="shared" si="2"/>
        <v>0</v>
      </c>
      <c r="CG36" s="65">
        <f t="shared" si="3"/>
        <v>0</v>
      </c>
      <c r="CH36" s="83">
        <f t="shared" si="4"/>
        <v>0</v>
      </c>
      <c r="CI36" s="65">
        <f t="shared" si="5"/>
        <v>0</v>
      </c>
      <c r="CJ36" s="83">
        <f t="shared" si="6"/>
        <v>0</v>
      </c>
      <c r="CK36" s="65">
        <f t="shared" si="7"/>
        <v>0</v>
      </c>
      <c r="CL36" s="83">
        <f t="shared" si="8"/>
        <v>0</v>
      </c>
      <c r="CM36" s="83">
        <f t="shared" si="9"/>
        <v>0</v>
      </c>
      <c r="CN36" s="117">
        <f t="shared" si="10"/>
        <v>0</v>
      </c>
      <c r="CO36" s="117">
        <f t="shared" si="11"/>
        <v>0</v>
      </c>
      <c r="CP36" s="117">
        <f t="shared" si="12"/>
        <v>0</v>
      </c>
      <c r="CQ36" s="117">
        <f t="shared" si="13"/>
        <v>0</v>
      </c>
      <c r="CR36"/>
      <c r="CS36" s="83">
        <f t="shared" si="14"/>
        <v>0</v>
      </c>
      <c r="CT36" s="83">
        <f t="shared" si="15"/>
        <v>0</v>
      </c>
      <c r="CU36" s="83">
        <f t="shared" si="16"/>
        <v>0</v>
      </c>
      <c r="CV36" s="117">
        <v>0</v>
      </c>
      <c r="CW36" s="117">
        <v>0</v>
      </c>
      <c r="CX36" s="117">
        <v>0</v>
      </c>
      <c r="CY36" s="117">
        <v>0</v>
      </c>
      <c r="CZ36"/>
      <c r="DA36"/>
      <c r="DB36"/>
      <c r="DC36"/>
      <c r="DD36"/>
      <c r="DE36"/>
    </row>
    <row r="37" spans="1:109" s="49" customFormat="1" ht="21" x14ac:dyDescent="0.25">
      <c r="A37" s="195"/>
      <c r="B37" s="149"/>
      <c r="C37" s="3" t="s">
        <v>12</v>
      </c>
      <c r="D37" s="147"/>
      <c r="E37" s="147"/>
      <c r="F37" s="141"/>
      <c r="G37" s="145"/>
      <c r="H37" s="143"/>
      <c r="I37" s="143"/>
      <c r="J37" s="141"/>
      <c r="K37" s="141"/>
      <c r="L37" s="141"/>
      <c r="M37" s="141"/>
      <c r="N37" s="145"/>
      <c r="O37" s="143"/>
      <c r="P37" s="143"/>
      <c r="Q37" s="141"/>
      <c r="R37" s="141"/>
      <c r="S37" s="141"/>
      <c r="T37" s="159"/>
      <c r="U37" s="145"/>
      <c r="V37" s="143"/>
      <c r="W37" s="143"/>
      <c r="X37" s="141"/>
      <c r="Y37" s="141"/>
      <c r="Z37" s="145"/>
      <c r="AA37" s="145"/>
      <c r="AB37" s="141"/>
      <c r="AC37" s="143"/>
      <c r="AD37" s="143"/>
      <c r="AE37" s="143"/>
      <c r="AF37" s="143"/>
      <c r="AG37" s="141"/>
      <c r="AH37" s="157"/>
      <c r="AI37" s="155"/>
      <c r="AJ37" s="11"/>
      <c r="AK37" s="7"/>
      <c r="AL37" s="7"/>
      <c r="AM37" s="11"/>
      <c r="AN37" s="59"/>
      <c r="AO37" s="5"/>
      <c r="AP37" s="78"/>
      <c r="AQ37" s="135"/>
      <c r="AR37" s="5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 s="83">
        <f t="shared" si="0"/>
        <v>0</v>
      </c>
      <c r="CE37" s="66">
        <f t="shared" si="1"/>
        <v>0</v>
      </c>
      <c r="CF37" s="83">
        <f t="shared" si="2"/>
        <v>0</v>
      </c>
      <c r="CG37" s="65">
        <f t="shared" si="3"/>
        <v>0</v>
      </c>
      <c r="CH37" s="83">
        <f t="shared" si="4"/>
        <v>0</v>
      </c>
      <c r="CI37" s="65">
        <f t="shared" si="5"/>
        <v>0</v>
      </c>
      <c r="CJ37" s="83">
        <f t="shared" si="6"/>
        <v>0</v>
      </c>
      <c r="CK37" s="65">
        <f t="shared" si="7"/>
        <v>0</v>
      </c>
      <c r="CL37" s="83">
        <f t="shared" si="8"/>
        <v>0</v>
      </c>
      <c r="CM37" s="83">
        <f t="shared" si="9"/>
        <v>0</v>
      </c>
      <c r="CN37" s="117">
        <f t="shared" si="10"/>
        <v>0</v>
      </c>
      <c r="CO37" s="117">
        <f t="shared" si="11"/>
        <v>0</v>
      </c>
      <c r="CP37" s="117">
        <f t="shared" si="12"/>
        <v>0</v>
      </c>
      <c r="CQ37" s="117">
        <f t="shared" si="13"/>
        <v>0</v>
      </c>
      <c r="CR37"/>
      <c r="CS37" s="83">
        <f t="shared" si="14"/>
        <v>0</v>
      </c>
      <c r="CT37" s="83">
        <f t="shared" si="15"/>
        <v>0</v>
      </c>
      <c r="CU37" s="83">
        <f t="shared" si="16"/>
        <v>0</v>
      </c>
      <c r="CV37" s="117">
        <v>0</v>
      </c>
      <c r="CW37" s="117">
        <v>0</v>
      </c>
      <c r="CX37" s="117">
        <v>0</v>
      </c>
      <c r="CY37" s="117">
        <v>0</v>
      </c>
      <c r="CZ37"/>
      <c r="DA37"/>
      <c r="DB37"/>
      <c r="DC37"/>
      <c r="DD37"/>
      <c r="DE37"/>
    </row>
    <row r="38" spans="1:109" s="49" customFormat="1" ht="22" thickBot="1" x14ac:dyDescent="0.3">
      <c r="A38" s="196"/>
      <c r="B38" s="150"/>
      <c r="C38" s="92" t="s">
        <v>4</v>
      </c>
      <c r="D38" s="88"/>
      <c r="E38" s="88"/>
      <c r="F38" s="88"/>
      <c r="G38" s="89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90"/>
      <c r="AI38" s="36"/>
      <c r="AJ38" s="34"/>
      <c r="AK38" s="7"/>
      <c r="AL38" s="7"/>
      <c r="AM38" s="34"/>
      <c r="AN38" s="59"/>
      <c r="AO38" s="5"/>
      <c r="AP38" s="78"/>
      <c r="AQ38" s="135"/>
      <c r="AR38" s="5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 s="83">
        <f t="shared" si="0"/>
        <v>0</v>
      </c>
      <c r="CE38" s="66">
        <f t="shared" si="1"/>
        <v>0</v>
      </c>
      <c r="CF38" s="83">
        <f t="shared" si="2"/>
        <v>0</v>
      </c>
      <c r="CG38" s="65">
        <f t="shared" si="3"/>
        <v>0</v>
      </c>
      <c r="CH38" s="83">
        <f t="shared" si="4"/>
        <v>0</v>
      </c>
      <c r="CI38" s="65">
        <f t="shared" si="5"/>
        <v>0</v>
      </c>
      <c r="CJ38" s="83">
        <f t="shared" si="6"/>
        <v>0</v>
      </c>
      <c r="CK38" s="65">
        <f t="shared" si="7"/>
        <v>0</v>
      </c>
      <c r="CL38" s="83">
        <f t="shared" si="8"/>
        <v>0</v>
      </c>
      <c r="CM38" s="83">
        <f t="shared" si="9"/>
        <v>0</v>
      </c>
      <c r="CN38" s="117">
        <f t="shared" si="10"/>
        <v>0</v>
      </c>
      <c r="CO38" s="117">
        <f t="shared" si="11"/>
        <v>0</v>
      </c>
      <c r="CP38" s="117">
        <f t="shared" si="12"/>
        <v>0</v>
      </c>
      <c r="CQ38" s="117">
        <f t="shared" si="13"/>
        <v>0</v>
      </c>
      <c r="CR38"/>
      <c r="CS38" s="83">
        <f t="shared" si="14"/>
        <v>0</v>
      </c>
      <c r="CT38" s="83">
        <f t="shared" si="15"/>
        <v>0</v>
      </c>
      <c r="CU38" s="83">
        <f t="shared" si="16"/>
        <v>0</v>
      </c>
      <c r="CV38" s="117">
        <v>0</v>
      </c>
      <c r="CW38" s="117">
        <v>0</v>
      </c>
      <c r="CX38" s="117">
        <v>0</v>
      </c>
      <c r="CY38" s="117">
        <v>0</v>
      </c>
      <c r="CZ38"/>
      <c r="DA38"/>
      <c r="DB38"/>
      <c r="DC38"/>
      <c r="DD38"/>
      <c r="DE38"/>
    </row>
    <row r="39" spans="1:109" s="49" customFormat="1" ht="19" customHeight="1" thickTop="1" x14ac:dyDescent="0.25">
      <c r="A39" s="194">
        <v>11</v>
      </c>
      <c r="B39" s="148"/>
      <c r="C39" s="91" t="s">
        <v>11</v>
      </c>
      <c r="D39" s="146"/>
      <c r="E39" s="146"/>
      <c r="F39" s="140"/>
      <c r="G39" s="144"/>
      <c r="H39" s="142"/>
      <c r="I39" s="142"/>
      <c r="J39" s="140"/>
      <c r="K39" s="140"/>
      <c r="L39" s="140"/>
      <c r="M39" s="140"/>
      <c r="N39" s="144"/>
      <c r="O39" s="142"/>
      <c r="P39" s="142"/>
      <c r="Q39" s="140"/>
      <c r="R39" s="140"/>
      <c r="S39" s="140"/>
      <c r="T39" s="158"/>
      <c r="U39" s="144"/>
      <c r="V39" s="142"/>
      <c r="W39" s="142"/>
      <c r="X39" s="140"/>
      <c r="Y39" s="140"/>
      <c r="Z39" s="144"/>
      <c r="AA39" s="144"/>
      <c r="AB39" s="140"/>
      <c r="AC39" s="142"/>
      <c r="AD39" s="142"/>
      <c r="AE39" s="142"/>
      <c r="AF39" s="142"/>
      <c r="AG39" s="140"/>
      <c r="AH39" s="156"/>
      <c r="AI39" s="154">
        <f t="shared" ref="AI39" si="32">SUM(D39:AH39)</f>
        <v>0</v>
      </c>
      <c r="AJ39" s="86">
        <f>SUMIF(D41:AH41, "LL", D39:AH39) + SUMIF(D41:AH41, "LL", D40:AH40)</f>
        <v>0</v>
      </c>
      <c r="AK39" s="7"/>
      <c r="AL39" s="7"/>
      <c r="AM39" s="99">
        <f t="shared" ref="AM39" si="33">SUMIF(D41:AH41, "CO", D39:AH39) + SUMIF(D41:AH41, "CO", D40:AH40)</f>
        <v>0</v>
      </c>
      <c r="AN39" s="59">
        <f>SUM(AI39:AM39)</f>
        <v>0</v>
      </c>
      <c r="AO39" s="5"/>
      <c r="AP39" s="73"/>
      <c r="AQ39" s="135"/>
      <c r="AR39" s="5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120"/>
      <c r="BE39" s="120"/>
      <c r="BF39" s="120"/>
      <c r="BG39" s="120"/>
      <c r="BH39" s="120"/>
      <c r="BI39" s="120"/>
      <c r="BJ39" s="120"/>
      <c r="BK39" s="120"/>
      <c r="BL39" s="120"/>
      <c r="BM39" s="120"/>
      <c r="BN39" s="120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 s="83">
        <f t="shared" si="0"/>
        <v>0</v>
      </c>
      <c r="CE39" s="66">
        <f t="shared" si="1"/>
        <v>0</v>
      </c>
      <c r="CF39" s="83">
        <f t="shared" si="2"/>
        <v>0</v>
      </c>
      <c r="CG39" s="65">
        <f t="shared" si="3"/>
        <v>0</v>
      </c>
      <c r="CH39" s="83">
        <f t="shared" si="4"/>
        <v>0</v>
      </c>
      <c r="CI39" s="65">
        <f t="shared" si="5"/>
        <v>0</v>
      </c>
      <c r="CJ39" s="83">
        <f t="shared" si="6"/>
        <v>0</v>
      </c>
      <c r="CK39" s="65">
        <f t="shared" si="7"/>
        <v>0</v>
      </c>
      <c r="CL39" s="83">
        <f t="shared" si="8"/>
        <v>0</v>
      </c>
      <c r="CM39" s="83">
        <f t="shared" si="9"/>
        <v>0</v>
      </c>
      <c r="CN39" s="117">
        <f t="shared" si="10"/>
        <v>0</v>
      </c>
      <c r="CO39" s="117">
        <f t="shared" si="11"/>
        <v>0</v>
      </c>
      <c r="CP39" s="117">
        <f t="shared" si="12"/>
        <v>0</v>
      </c>
      <c r="CQ39" s="117">
        <f t="shared" si="13"/>
        <v>0</v>
      </c>
      <c r="CR39"/>
      <c r="CS39" s="83">
        <f t="shared" si="14"/>
        <v>0</v>
      </c>
      <c r="CT39" s="83">
        <f t="shared" si="15"/>
        <v>0</v>
      </c>
      <c r="CU39" s="83">
        <f t="shared" si="16"/>
        <v>0</v>
      </c>
      <c r="CV39" s="117">
        <v>0</v>
      </c>
      <c r="CW39" s="117">
        <v>0</v>
      </c>
      <c r="CX39" s="117">
        <v>0</v>
      </c>
      <c r="CY39" s="117">
        <v>0</v>
      </c>
      <c r="CZ39"/>
      <c r="DA39"/>
      <c r="DB39"/>
      <c r="DC39"/>
      <c r="DD39"/>
      <c r="DE39"/>
    </row>
    <row r="40" spans="1:109" s="49" customFormat="1" ht="21" x14ac:dyDescent="0.25">
      <c r="A40" s="195"/>
      <c r="B40" s="149"/>
      <c r="C40" s="3" t="s">
        <v>12</v>
      </c>
      <c r="D40" s="147"/>
      <c r="E40" s="147"/>
      <c r="F40" s="141"/>
      <c r="G40" s="145"/>
      <c r="H40" s="143"/>
      <c r="I40" s="143"/>
      <c r="J40" s="141"/>
      <c r="K40" s="141"/>
      <c r="L40" s="141"/>
      <c r="M40" s="141"/>
      <c r="N40" s="145"/>
      <c r="O40" s="143"/>
      <c r="P40" s="143"/>
      <c r="Q40" s="141"/>
      <c r="R40" s="141"/>
      <c r="S40" s="141"/>
      <c r="T40" s="159"/>
      <c r="U40" s="145"/>
      <c r="V40" s="143"/>
      <c r="W40" s="143"/>
      <c r="X40" s="141"/>
      <c r="Y40" s="141"/>
      <c r="Z40" s="145"/>
      <c r="AA40" s="145"/>
      <c r="AB40" s="141"/>
      <c r="AC40" s="143"/>
      <c r="AD40" s="143"/>
      <c r="AE40" s="143"/>
      <c r="AF40" s="143"/>
      <c r="AG40" s="141"/>
      <c r="AH40" s="157"/>
      <c r="AI40" s="155"/>
      <c r="AJ40" s="11"/>
      <c r="AK40" s="7"/>
      <c r="AL40" s="7"/>
      <c r="AM40" s="11"/>
      <c r="AN40" s="59"/>
      <c r="AO40" s="5"/>
      <c r="AP40" s="78"/>
      <c r="AQ40" s="135"/>
      <c r="AR40" s="5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20"/>
      <c r="BE40" s="120"/>
      <c r="BF40" s="120"/>
      <c r="BG40" s="120"/>
      <c r="BH40" s="120"/>
      <c r="BI40" s="120"/>
      <c r="BJ40" s="120"/>
      <c r="BK40" s="120"/>
      <c r="BL40" s="120"/>
      <c r="BM40" s="120"/>
      <c r="BN40" s="12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 s="83">
        <f t="shared" si="0"/>
        <v>0</v>
      </c>
      <c r="CE40" s="66">
        <f t="shared" si="1"/>
        <v>0</v>
      </c>
      <c r="CF40" s="83">
        <f t="shared" si="2"/>
        <v>0</v>
      </c>
      <c r="CG40" s="65">
        <f t="shared" si="3"/>
        <v>0</v>
      </c>
      <c r="CH40" s="83">
        <f t="shared" si="4"/>
        <v>0</v>
      </c>
      <c r="CI40" s="65">
        <f t="shared" si="5"/>
        <v>0</v>
      </c>
      <c r="CJ40" s="83">
        <f t="shared" si="6"/>
        <v>0</v>
      </c>
      <c r="CK40" s="65">
        <f t="shared" si="7"/>
        <v>0</v>
      </c>
      <c r="CL40" s="83">
        <f t="shared" si="8"/>
        <v>0</v>
      </c>
      <c r="CM40" s="83">
        <f t="shared" si="9"/>
        <v>0</v>
      </c>
      <c r="CN40" s="117">
        <f t="shared" si="10"/>
        <v>0</v>
      </c>
      <c r="CO40" s="117">
        <f t="shared" si="11"/>
        <v>0</v>
      </c>
      <c r="CP40" s="117">
        <f t="shared" si="12"/>
        <v>0</v>
      </c>
      <c r="CQ40" s="117">
        <f t="shared" si="13"/>
        <v>0</v>
      </c>
      <c r="CR40"/>
      <c r="CS40" s="83">
        <f t="shared" si="14"/>
        <v>0</v>
      </c>
      <c r="CT40" s="83">
        <f t="shared" si="15"/>
        <v>0</v>
      </c>
      <c r="CU40" s="83">
        <f t="shared" si="16"/>
        <v>0</v>
      </c>
      <c r="CV40" s="117">
        <v>0</v>
      </c>
      <c r="CW40" s="117">
        <v>0</v>
      </c>
      <c r="CX40" s="117">
        <v>0</v>
      </c>
      <c r="CY40" s="117">
        <v>0</v>
      </c>
      <c r="CZ40"/>
      <c r="DA40"/>
      <c r="DB40"/>
      <c r="DC40"/>
      <c r="DD40"/>
      <c r="DE40"/>
    </row>
    <row r="41" spans="1:109" s="49" customFormat="1" ht="22" thickBot="1" x14ac:dyDescent="0.3">
      <c r="A41" s="196"/>
      <c r="B41" s="150"/>
      <c r="C41" s="92" t="s">
        <v>4</v>
      </c>
      <c r="D41" s="88"/>
      <c r="E41" s="88"/>
      <c r="F41" s="88"/>
      <c r="G41" s="89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90"/>
      <c r="AI41" s="36"/>
      <c r="AJ41" s="34"/>
      <c r="AK41" s="7"/>
      <c r="AL41" s="7"/>
      <c r="AM41" s="34"/>
      <c r="AN41" s="59"/>
      <c r="AO41" s="5"/>
      <c r="AP41" s="78"/>
      <c r="AQ41" s="135"/>
      <c r="AR41" s="5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120"/>
      <c r="BG41" s="120"/>
      <c r="BH41" s="120"/>
      <c r="BI41" s="120"/>
      <c r="BJ41" s="120"/>
      <c r="BK41" s="120"/>
      <c r="BL41" s="120"/>
      <c r="BM41" s="120"/>
      <c r="BN41" s="120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 s="83">
        <f t="shared" ref="CD41:CD72" si="34">SUMIF(D43:AH43,"T",D41:AH41)</f>
        <v>0</v>
      </c>
      <c r="CE41" s="66">
        <f t="shared" ref="CE41:CE72" si="35">AP41*CD41</f>
        <v>0</v>
      </c>
      <c r="CF41" s="83">
        <f t="shared" ref="CF41:CF72" si="36">SUMIF(D43:AH43,"VS",D41:AH41)</f>
        <v>0</v>
      </c>
      <c r="CG41" s="65">
        <f t="shared" ref="CG41:CG72" si="37">AP41*CF41</f>
        <v>0</v>
      </c>
      <c r="CH41" s="83">
        <f t="shared" ref="CH41:CH72" si="38">SUMIF(D43:AH43,"Sb",D41:AH41)</f>
        <v>0</v>
      </c>
      <c r="CI41" s="65">
        <f t="shared" ref="CI41:CI72" si="39">AP41*CH41</f>
        <v>0</v>
      </c>
      <c r="CJ41" s="83">
        <f t="shared" ref="CJ41:CJ72" si="40">SUMIF(D43:AH43,"VB",D41:AH41)</f>
        <v>0</v>
      </c>
      <c r="CK41" s="65">
        <f t="shared" ref="CK41:CK72" si="41">AP41*CJ41</f>
        <v>0</v>
      </c>
      <c r="CL41" s="83">
        <f t="shared" ref="CL41:CL72" si="42">SUMIF(D43:AH43,"VCC",D41:AH41)</f>
        <v>0</v>
      </c>
      <c r="CM41" s="83">
        <f t="shared" ref="CM41:CM72" si="43">AP41*CL41</f>
        <v>0</v>
      </c>
      <c r="CN41" s="117">
        <f t="shared" ref="CN41:CN72" si="44">SUMIF(D43:AH43,"VB3",D41:AH41)</f>
        <v>0</v>
      </c>
      <c r="CO41" s="117">
        <f t="shared" ref="CO41:CO72" si="45">AP41*CN41</f>
        <v>0</v>
      </c>
      <c r="CP41" s="117">
        <f t="shared" ref="CP41:CP72" si="46">SUMIF(D43:AH43,"VB14",D41:AH41)</f>
        <v>0</v>
      </c>
      <c r="CQ41" s="117">
        <f t="shared" ref="CQ41:CQ72" si="47">AP41*CP41</f>
        <v>0</v>
      </c>
      <c r="CR41"/>
      <c r="CS41" s="83">
        <f t="shared" si="14"/>
        <v>0</v>
      </c>
      <c r="CT41" s="83">
        <f t="shared" si="15"/>
        <v>0</v>
      </c>
      <c r="CU41" s="83">
        <f t="shared" si="16"/>
        <v>0</v>
      </c>
      <c r="CV41" s="117">
        <v>0</v>
      </c>
      <c r="CW41" s="117">
        <v>0</v>
      </c>
      <c r="CX41" s="117">
        <v>0</v>
      </c>
      <c r="CY41" s="117">
        <v>0</v>
      </c>
      <c r="CZ41"/>
      <c r="DA41"/>
      <c r="DB41"/>
      <c r="DC41"/>
      <c r="DD41"/>
      <c r="DE41"/>
    </row>
    <row r="42" spans="1:109" s="49" customFormat="1" ht="19" customHeight="1" thickTop="1" x14ac:dyDescent="0.25">
      <c r="A42" s="194">
        <v>12</v>
      </c>
      <c r="B42" s="148"/>
      <c r="C42" s="91" t="s">
        <v>11</v>
      </c>
      <c r="D42" s="146"/>
      <c r="E42" s="146"/>
      <c r="F42" s="140"/>
      <c r="G42" s="144"/>
      <c r="H42" s="142"/>
      <c r="I42" s="142"/>
      <c r="J42" s="140"/>
      <c r="K42" s="140"/>
      <c r="L42" s="140"/>
      <c r="M42" s="140"/>
      <c r="N42" s="144"/>
      <c r="O42" s="142"/>
      <c r="P42" s="142"/>
      <c r="Q42" s="140"/>
      <c r="R42" s="140"/>
      <c r="S42" s="140"/>
      <c r="T42" s="158"/>
      <c r="U42" s="144"/>
      <c r="V42" s="142"/>
      <c r="W42" s="142"/>
      <c r="X42" s="140"/>
      <c r="Y42" s="140"/>
      <c r="Z42" s="144"/>
      <c r="AA42" s="144"/>
      <c r="AB42" s="140"/>
      <c r="AC42" s="142"/>
      <c r="AD42" s="142"/>
      <c r="AE42" s="142"/>
      <c r="AF42" s="142"/>
      <c r="AG42" s="140"/>
      <c r="AH42" s="156"/>
      <c r="AI42" s="154">
        <f t="shared" ref="AI42" si="48">SUM(D42:AH42)</f>
        <v>0</v>
      </c>
      <c r="AJ42" s="87">
        <f>SUMIF(D44:AH44, "LL", D42:AH42) + SUMIF(D44:AH44, "LL", D43:AH43)</f>
        <v>0</v>
      </c>
      <c r="AK42" s="7"/>
      <c r="AL42" s="7"/>
      <c r="AM42" s="100">
        <f t="shared" ref="AM42" si="49">SUMIF(D44:AH44, "CO", D42:AH42) + SUMIF(D44:AH44, "CO", D43:AH43)</f>
        <v>0</v>
      </c>
      <c r="AN42" s="59">
        <f>SUM(AI42:AM42)</f>
        <v>0</v>
      </c>
      <c r="AO42" s="5"/>
      <c r="AP42" s="73"/>
      <c r="AQ42" s="135"/>
      <c r="AR42" s="5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120"/>
      <c r="BG42" s="120"/>
      <c r="BH42" s="120"/>
      <c r="BI42" s="120"/>
      <c r="BJ42" s="120"/>
      <c r="BK42" s="120"/>
      <c r="BL42" s="120"/>
      <c r="BM42" s="120"/>
      <c r="BN42" s="120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 s="83">
        <f t="shared" si="34"/>
        <v>0</v>
      </c>
      <c r="CE42" s="66">
        <f t="shared" si="35"/>
        <v>0</v>
      </c>
      <c r="CF42" s="83">
        <f t="shared" si="36"/>
        <v>0</v>
      </c>
      <c r="CG42" s="65">
        <f t="shared" si="37"/>
        <v>0</v>
      </c>
      <c r="CH42" s="83">
        <f t="shared" si="38"/>
        <v>0</v>
      </c>
      <c r="CI42" s="65">
        <f t="shared" si="39"/>
        <v>0</v>
      </c>
      <c r="CJ42" s="83">
        <f t="shared" si="40"/>
        <v>0</v>
      </c>
      <c r="CK42" s="65">
        <f t="shared" si="41"/>
        <v>0</v>
      </c>
      <c r="CL42" s="83">
        <f t="shared" si="42"/>
        <v>0</v>
      </c>
      <c r="CM42" s="83">
        <f t="shared" si="43"/>
        <v>0</v>
      </c>
      <c r="CN42" s="117">
        <f t="shared" si="44"/>
        <v>0</v>
      </c>
      <c r="CO42" s="117">
        <f t="shared" si="45"/>
        <v>0</v>
      </c>
      <c r="CP42" s="117">
        <f t="shared" si="46"/>
        <v>0</v>
      </c>
      <c r="CQ42" s="117">
        <f t="shared" si="47"/>
        <v>0</v>
      </c>
      <c r="CR42"/>
      <c r="CS42" s="83">
        <f t="shared" ref="CS42:CS73" si="50">SUMIF(K44:AO44, "T", K42:AO42) + SUMIF(K44:AO44, "T", K43:AO43)</f>
        <v>0</v>
      </c>
      <c r="CT42" s="83">
        <f t="shared" ref="CT42:CT73" si="51">SUMIF(L44:AP44, "T", L42:AP42) + SUMIF(L44:AP44, "T", L43:AP43)</f>
        <v>0</v>
      </c>
      <c r="CU42" s="83">
        <f t="shared" ref="CU42:CU73" si="52">SUMIF(M44:AQ44, "T", M42:AQ42) + SUMIF(M44:AQ44, "T", M43:AQ43)</f>
        <v>0</v>
      </c>
      <c r="CV42" s="117">
        <v>0</v>
      </c>
      <c r="CW42" s="117">
        <v>0</v>
      </c>
      <c r="CX42" s="117">
        <v>0</v>
      </c>
      <c r="CY42" s="117">
        <v>0</v>
      </c>
      <c r="CZ42"/>
      <c r="DA42"/>
      <c r="DB42"/>
      <c r="DC42"/>
      <c r="DD42"/>
      <c r="DE42"/>
    </row>
    <row r="43" spans="1:109" s="49" customFormat="1" ht="21" x14ac:dyDescent="0.25">
      <c r="A43" s="195"/>
      <c r="B43" s="149"/>
      <c r="C43" s="3" t="s">
        <v>12</v>
      </c>
      <c r="D43" s="147"/>
      <c r="E43" s="147"/>
      <c r="F43" s="141"/>
      <c r="G43" s="145"/>
      <c r="H43" s="143"/>
      <c r="I43" s="143"/>
      <c r="J43" s="141"/>
      <c r="K43" s="141"/>
      <c r="L43" s="141"/>
      <c r="M43" s="141"/>
      <c r="N43" s="145"/>
      <c r="O43" s="143"/>
      <c r="P43" s="143"/>
      <c r="Q43" s="141"/>
      <c r="R43" s="141"/>
      <c r="S43" s="141"/>
      <c r="T43" s="159"/>
      <c r="U43" s="145"/>
      <c r="V43" s="143"/>
      <c r="W43" s="143"/>
      <c r="X43" s="141"/>
      <c r="Y43" s="141"/>
      <c r="Z43" s="145"/>
      <c r="AA43" s="145"/>
      <c r="AB43" s="141"/>
      <c r="AC43" s="143"/>
      <c r="AD43" s="143"/>
      <c r="AE43" s="143"/>
      <c r="AF43" s="143"/>
      <c r="AG43" s="141"/>
      <c r="AH43" s="157"/>
      <c r="AI43" s="155"/>
      <c r="AJ43" s="11"/>
      <c r="AK43" s="7"/>
      <c r="AL43" s="7"/>
      <c r="AM43" s="11"/>
      <c r="AN43" s="59"/>
      <c r="AO43" s="5"/>
      <c r="AP43" s="78"/>
      <c r="AQ43" s="135"/>
      <c r="AR43" s="5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 s="83">
        <f t="shared" si="34"/>
        <v>0</v>
      </c>
      <c r="CE43" s="66">
        <f t="shared" si="35"/>
        <v>0</v>
      </c>
      <c r="CF43" s="83">
        <f t="shared" si="36"/>
        <v>0</v>
      </c>
      <c r="CG43" s="65">
        <f t="shared" si="37"/>
        <v>0</v>
      </c>
      <c r="CH43" s="83">
        <f t="shared" si="38"/>
        <v>0</v>
      </c>
      <c r="CI43" s="65">
        <f t="shared" si="39"/>
        <v>0</v>
      </c>
      <c r="CJ43" s="83">
        <f t="shared" si="40"/>
        <v>0</v>
      </c>
      <c r="CK43" s="65">
        <f t="shared" si="41"/>
        <v>0</v>
      </c>
      <c r="CL43" s="83">
        <f t="shared" si="42"/>
        <v>0</v>
      </c>
      <c r="CM43" s="83">
        <f t="shared" si="43"/>
        <v>0</v>
      </c>
      <c r="CN43" s="117">
        <f t="shared" si="44"/>
        <v>0</v>
      </c>
      <c r="CO43" s="117">
        <f t="shared" si="45"/>
        <v>0</v>
      </c>
      <c r="CP43" s="117">
        <f t="shared" si="46"/>
        <v>0</v>
      </c>
      <c r="CQ43" s="117">
        <f t="shared" si="47"/>
        <v>0</v>
      </c>
      <c r="CR43"/>
      <c r="CS43" s="83">
        <f t="shared" si="50"/>
        <v>0</v>
      </c>
      <c r="CT43" s="83">
        <f t="shared" si="51"/>
        <v>0</v>
      </c>
      <c r="CU43" s="83">
        <f t="shared" si="52"/>
        <v>0</v>
      </c>
      <c r="CV43" s="117">
        <v>0</v>
      </c>
      <c r="CW43" s="117">
        <v>0</v>
      </c>
      <c r="CX43" s="117">
        <v>0</v>
      </c>
      <c r="CY43" s="117">
        <v>0</v>
      </c>
      <c r="CZ43"/>
      <c r="DA43"/>
      <c r="DB43"/>
      <c r="DC43"/>
      <c r="DD43"/>
      <c r="DE43"/>
    </row>
    <row r="44" spans="1:109" s="49" customFormat="1" ht="22" thickBot="1" x14ac:dyDescent="0.3">
      <c r="A44" s="196"/>
      <c r="B44" s="150"/>
      <c r="C44" s="92" t="s">
        <v>4</v>
      </c>
      <c r="D44" s="88"/>
      <c r="E44" s="88"/>
      <c r="F44" s="88"/>
      <c r="G44" s="89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90"/>
      <c r="AI44" s="36"/>
      <c r="AJ44" s="34"/>
      <c r="AK44" s="7"/>
      <c r="AL44" s="7"/>
      <c r="AM44" s="34"/>
      <c r="AN44" s="59"/>
      <c r="AO44" s="5"/>
      <c r="AP44" s="78"/>
      <c r="AQ44" s="135"/>
      <c r="AR44" s="5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120"/>
      <c r="BG44" s="120"/>
      <c r="BH44" s="120"/>
      <c r="BI44" s="120"/>
      <c r="BJ44" s="120"/>
      <c r="BK44" s="120"/>
      <c r="BL44" s="120"/>
      <c r="BM44" s="120"/>
      <c r="BN44" s="120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 s="83">
        <f t="shared" si="34"/>
        <v>0</v>
      </c>
      <c r="CE44" s="66">
        <f t="shared" si="35"/>
        <v>0</v>
      </c>
      <c r="CF44" s="83">
        <f t="shared" si="36"/>
        <v>0</v>
      </c>
      <c r="CG44" s="65">
        <f t="shared" si="37"/>
        <v>0</v>
      </c>
      <c r="CH44" s="83">
        <f t="shared" si="38"/>
        <v>0</v>
      </c>
      <c r="CI44" s="65">
        <f t="shared" si="39"/>
        <v>0</v>
      </c>
      <c r="CJ44" s="83">
        <f t="shared" si="40"/>
        <v>0</v>
      </c>
      <c r="CK44" s="65">
        <f t="shared" si="41"/>
        <v>0</v>
      </c>
      <c r="CL44" s="83">
        <f t="shared" si="42"/>
        <v>0</v>
      </c>
      <c r="CM44" s="83">
        <f t="shared" si="43"/>
        <v>0</v>
      </c>
      <c r="CN44" s="117">
        <f t="shared" si="44"/>
        <v>0</v>
      </c>
      <c r="CO44" s="117">
        <f t="shared" si="45"/>
        <v>0</v>
      </c>
      <c r="CP44" s="117">
        <f t="shared" si="46"/>
        <v>0</v>
      </c>
      <c r="CQ44" s="117">
        <f t="shared" si="47"/>
        <v>0</v>
      </c>
      <c r="CR44"/>
      <c r="CS44" s="83">
        <f t="shared" si="50"/>
        <v>0</v>
      </c>
      <c r="CT44" s="83">
        <f t="shared" si="51"/>
        <v>0</v>
      </c>
      <c r="CU44" s="83">
        <f t="shared" si="52"/>
        <v>0</v>
      </c>
      <c r="CV44" s="117">
        <v>0</v>
      </c>
      <c r="CW44" s="117">
        <v>0</v>
      </c>
      <c r="CX44" s="117">
        <v>0</v>
      </c>
      <c r="CY44" s="117">
        <v>0</v>
      </c>
      <c r="CZ44"/>
      <c r="DA44"/>
      <c r="DB44"/>
      <c r="DC44"/>
      <c r="DD44"/>
      <c r="DE44"/>
    </row>
    <row r="45" spans="1:109" s="49" customFormat="1" ht="19" customHeight="1" thickTop="1" x14ac:dyDescent="0.25">
      <c r="A45" s="194">
        <v>13</v>
      </c>
      <c r="B45" s="148"/>
      <c r="C45" s="91" t="s">
        <v>11</v>
      </c>
      <c r="D45" s="146"/>
      <c r="E45" s="146"/>
      <c r="F45" s="140"/>
      <c r="G45" s="144"/>
      <c r="H45" s="142"/>
      <c r="I45" s="142"/>
      <c r="J45" s="140"/>
      <c r="K45" s="140"/>
      <c r="L45" s="140"/>
      <c r="M45" s="140"/>
      <c r="N45" s="144"/>
      <c r="O45" s="142"/>
      <c r="P45" s="142"/>
      <c r="Q45" s="140"/>
      <c r="R45" s="140"/>
      <c r="S45" s="140"/>
      <c r="T45" s="158"/>
      <c r="U45" s="144"/>
      <c r="V45" s="142"/>
      <c r="W45" s="142"/>
      <c r="X45" s="140"/>
      <c r="Y45" s="140"/>
      <c r="Z45" s="144"/>
      <c r="AA45" s="144"/>
      <c r="AB45" s="140"/>
      <c r="AC45" s="142"/>
      <c r="AD45" s="142"/>
      <c r="AE45" s="142"/>
      <c r="AF45" s="142"/>
      <c r="AG45" s="140"/>
      <c r="AH45" s="156"/>
      <c r="AI45" s="154">
        <f t="shared" ref="AI45" si="53">SUM(D45:AH45)</f>
        <v>0</v>
      </c>
      <c r="AJ45" s="86">
        <f>SUMIF(D47:AH47, "LL", D45:AH45) + SUMIF(D47:AH47, "LL", D46:AH46)</f>
        <v>0</v>
      </c>
      <c r="AK45" s="7"/>
      <c r="AL45" s="7"/>
      <c r="AM45" s="99">
        <f t="shared" ref="AM45" si="54">SUMIF(D47:AH47, "CO", D45:AH45) + SUMIF(D47:AH47, "CO", D46:AH46)</f>
        <v>0</v>
      </c>
      <c r="AN45" s="59">
        <f>SUM(AI45:AM45)</f>
        <v>0</v>
      </c>
      <c r="AO45" s="5"/>
      <c r="AP45" s="73"/>
      <c r="AQ45" s="135"/>
      <c r="AR45" s="5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 s="83">
        <f t="shared" si="34"/>
        <v>0</v>
      </c>
      <c r="CE45" s="66">
        <f t="shared" si="35"/>
        <v>0</v>
      </c>
      <c r="CF45" s="83">
        <f t="shared" si="36"/>
        <v>0</v>
      </c>
      <c r="CG45" s="65">
        <f t="shared" si="37"/>
        <v>0</v>
      </c>
      <c r="CH45" s="83">
        <f t="shared" si="38"/>
        <v>0</v>
      </c>
      <c r="CI45" s="65">
        <f t="shared" si="39"/>
        <v>0</v>
      </c>
      <c r="CJ45" s="83">
        <f t="shared" si="40"/>
        <v>0</v>
      </c>
      <c r="CK45" s="65">
        <f t="shared" si="41"/>
        <v>0</v>
      </c>
      <c r="CL45" s="83">
        <f t="shared" si="42"/>
        <v>0</v>
      </c>
      <c r="CM45" s="83">
        <f t="shared" si="43"/>
        <v>0</v>
      </c>
      <c r="CN45" s="117">
        <f t="shared" si="44"/>
        <v>0</v>
      </c>
      <c r="CO45" s="117">
        <f t="shared" si="45"/>
        <v>0</v>
      </c>
      <c r="CP45" s="117">
        <f t="shared" si="46"/>
        <v>0</v>
      </c>
      <c r="CQ45" s="117">
        <f t="shared" si="47"/>
        <v>0</v>
      </c>
      <c r="CR45"/>
      <c r="CS45" s="83">
        <f t="shared" si="50"/>
        <v>0</v>
      </c>
      <c r="CT45" s="83">
        <f t="shared" si="51"/>
        <v>0</v>
      </c>
      <c r="CU45" s="83">
        <f t="shared" si="52"/>
        <v>0</v>
      </c>
      <c r="CV45" s="117">
        <v>0</v>
      </c>
      <c r="CW45" s="117">
        <v>0</v>
      </c>
      <c r="CX45" s="117">
        <v>0</v>
      </c>
      <c r="CY45" s="117">
        <v>0</v>
      </c>
      <c r="CZ45"/>
      <c r="DA45"/>
      <c r="DB45"/>
      <c r="DC45"/>
      <c r="DD45"/>
      <c r="DE45"/>
    </row>
    <row r="46" spans="1:109" s="49" customFormat="1" ht="21" x14ac:dyDescent="0.25">
      <c r="A46" s="195"/>
      <c r="B46" s="149"/>
      <c r="C46" s="3" t="s">
        <v>12</v>
      </c>
      <c r="D46" s="147"/>
      <c r="E46" s="147"/>
      <c r="F46" s="141"/>
      <c r="G46" s="145"/>
      <c r="H46" s="143"/>
      <c r="I46" s="143"/>
      <c r="J46" s="141"/>
      <c r="K46" s="141"/>
      <c r="L46" s="141"/>
      <c r="M46" s="141"/>
      <c r="N46" s="145"/>
      <c r="O46" s="143"/>
      <c r="P46" s="143"/>
      <c r="Q46" s="141"/>
      <c r="R46" s="141"/>
      <c r="S46" s="141"/>
      <c r="T46" s="159"/>
      <c r="U46" s="145"/>
      <c r="V46" s="143"/>
      <c r="W46" s="143"/>
      <c r="X46" s="141"/>
      <c r="Y46" s="141"/>
      <c r="Z46" s="145"/>
      <c r="AA46" s="145"/>
      <c r="AB46" s="141"/>
      <c r="AC46" s="143"/>
      <c r="AD46" s="143"/>
      <c r="AE46" s="143"/>
      <c r="AF46" s="143"/>
      <c r="AG46" s="141"/>
      <c r="AH46" s="157"/>
      <c r="AI46" s="155"/>
      <c r="AJ46" s="11"/>
      <c r="AK46" s="7"/>
      <c r="AL46" s="7"/>
      <c r="AM46" s="11"/>
      <c r="AN46" s="59"/>
      <c r="AO46" s="5"/>
      <c r="AP46" s="78"/>
      <c r="AQ46" s="135"/>
      <c r="AR46" s="5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20"/>
      <c r="BE46" s="120"/>
      <c r="BF46" s="120"/>
      <c r="BG46" s="120"/>
      <c r="BH46" s="120"/>
      <c r="BI46" s="120"/>
      <c r="BJ46" s="120"/>
      <c r="BK46" s="120"/>
      <c r="BL46" s="120"/>
      <c r="BM46" s="120"/>
      <c r="BN46" s="120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 s="83">
        <f t="shared" si="34"/>
        <v>0</v>
      </c>
      <c r="CE46" s="66">
        <f t="shared" si="35"/>
        <v>0</v>
      </c>
      <c r="CF46" s="83">
        <f t="shared" si="36"/>
        <v>0</v>
      </c>
      <c r="CG46" s="65">
        <f t="shared" si="37"/>
        <v>0</v>
      </c>
      <c r="CH46" s="83">
        <f t="shared" si="38"/>
        <v>0</v>
      </c>
      <c r="CI46" s="65">
        <f t="shared" si="39"/>
        <v>0</v>
      </c>
      <c r="CJ46" s="83">
        <f t="shared" si="40"/>
        <v>0</v>
      </c>
      <c r="CK46" s="65">
        <f t="shared" si="41"/>
        <v>0</v>
      </c>
      <c r="CL46" s="83">
        <f t="shared" si="42"/>
        <v>0</v>
      </c>
      <c r="CM46" s="83">
        <f t="shared" si="43"/>
        <v>0</v>
      </c>
      <c r="CN46" s="117">
        <f t="shared" si="44"/>
        <v>0</v>
      </c>
      <c r="CO46" s="117">
        <f t="shared" si="45"/>
        <v>0</v>
      </c>
      <c r="CP46" s="117">
        <f t="shared" si="46"/>
        <v>0</v>
      </c>
      <c r="CQ46" s="117">
        <f t="shared" si="47"/>
        <v>0</v>
      </c>
      <c r="CR46"/>
      <c r="CS46" s="83">
        <f t="shared" si="50"/>
        <v>0</v>
      </c>
      <c r="CT46" s="83">
        <f t="shared" si="51"/>
        <v>0</v>
      </c>
      <c r="CU46" s="83">
        <f t="shared" si="52"/>
        <v>0</v>
      </c>
      <c r="CV46" s="117">
        <v>0</v>
      </c>
      <c r="CW46" s="117">
        <v>0</v>
      </c>
      <c r="CX46" s="117">
        <v>0</v>
      </c>
      <c r="CY46" s="117">
        <v>0</v>
      </c>
      <c r="CZ46"/>
      <c r="DA46"/>
      <c r="DB46"/>
      <c r="DC46"/>
      <c r="DD46"/>
      <c r="DE46"/>
    </row>
    <row r="47" spans="1:109" s="49" customFormat="1" ht="22" thickBot="1" x14ac:dyDescent="0.3">
      <c r="A47" s="196"/>
      <c r="B47" s="150"/>
      <c r="C47" s="92" t="s">
        <v>4</v>
      </c>
      <c r="D47" s="88"/>
      <c r="E47" s="88"/>
      <c r="F47" s="88"/>
      <c r="G47" s="89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90"/>
      <c r="AI47" s="36"/>
      <c r="AJ47" s="34"/>
      <c r="AK47" s="7"/>
      <c r="AL47" s="7"/>
      <c r="AM47" s="34"/>
      <c r="AN47" s="59"/>
      <c r="AO47" s="5"/>
      <c r="AP47" s="78"/>
      <c r="AQ47" s="135"/>
      <c r="AR47" s="5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 s="83">
        <f t="shared" si="34"/>
        <v>0</v>
      </c>
      <c r="CE47" s="66">
        <f t="shared" si="35"/>
        <v>0</v>
      </c>
      <c r="CF47" s="83">
        <f t="shared" si="36"/>
        <v>0</v>
      </c>
      <c r="CG47" s="65">
        <f t="shared" si="37"/>
        <v>0</v>
      </c>
      <c r="CH47" s="83">
        <f t="shared" si="38"/>
        <v>0</v>
      </c>
      <c r="CI47" s="65">
        <f t="shared" si="39"/>
        <v>0</v>
      </c>
      <c r="CJ47" s="83">
        <f t="shared" si="40"/>
        <v>0</v>
      </c>
      <c r="CK47" s="65">
        <f t="shared" si="41"/>
        <v>0</v>
      </c>
      <c r="CL47" s="83">
        <f t="shared" si="42"/>
        <v>0</v>
      </c>
      <c r="CM47" s="83">
        <f t="shared" si="43"/>
        <v>0</v>
      </c>
      <c r="CN47" s="117">
        <f t="shared" si="44"/>
        <v>0</v>
      </c>
      <c r="CO47" s="117">
        <f t="shared" si="45"/>
        <v>0</v>
      </c>
      <c r="CP47" s="117">
        <f t="shared" si="46"/>
        <v>0</v>
      </c>
      <c r="CQ47" s="117">
        <f t="shared" si="47"/>
        <v>0</v>
      </c>
      <c r="CR47"/>
      <c r="CS47" s="83">
        <f t="shared" si="50"/>
        <v>0</v>
      </c>
      <c r="CT47" s="83">
        <f t="shared" si="51"/>
        <v>0</v>
      </c>
      <c r="CU47" s="83">
        <f t="shared" si="52"/>
        <v>0</v>
      </c>
      <c r="CV47" s="117">
        <v>0</v>
      </c>
      <c r="CW47" s="117">
        <v>0</v>
      </c>
      <c r="CX47" s="117">
        <v>0</v>
      </c>
      <c r="CY47" s="117">
        <v>0</v>
      </c>
      <c r="CZ47"/>
      <c r="DA47"/>
      <c r="DB47"/>
      <c r="DC47"/>
      <c r="DD47"/>
      <c r="DE47"/>
    </row>
    <row r="48" spans="1:109" s="49" customFormat="1" ht="19" customHeight="1" thickTop="1" x14ac:dyDescent="0.25">
      <c r="A48" s="194">
        <v>14</v>
      </c>
      <c r="B48" s="148"/>
      <c r="C48" s="91" t="s">
        <v>11</v>
      </c>
      <c r="D48" s="146"/>
      <c r="E48" s="146"/>
      <c r="F48" s="140"/>
      <c r="G48" s="144"/>
      <c r="H48" s="142"/>
      <c r="I48" s="142"/>
      <c r="J48" s="140"/>
      <c r="K48" s="140"/>
      <c r="L48" s="140"/>
      <c r="M48" s="140"/>
      <c r="N48" s="144"/>
      <c r="O48" s="142"/>
      <c r="P48" s="142"/>
      <c r="Q48" s="140"/>
      <c r="R48" s="140"/>
      <c r="S48" s="140"/>
      <c r="T48" s="158"/>
      <c r="U48" s="144"/>
      <c r="V48" s="142"/>
      <c r="W48" s="142"/>
      <c r="X48" s="140"/>
      <c r="Y48" s="140"/>
      <c r="Z48" s="144"/>
      <c r="AA48" s="144"/>
      <c r="AB48" s="140"/>
      <c r="AC48" s="142"/>
      <c r="AD48" s="142"/>
      <c r="AE48" s="142"/>
      <c r="AF48" s="142"/>
      <c r="AG48" s="140"/>
      <c r="AH48" s="156"/>
      <c r="AI48" s="154">
        <f t="shared" ref="AI48" si="55">SUM(D48:AH48)</f>
        <v>0</v>
      </c>
      <c r="AJ48" s="87">
        <f>SUMIF(D50:AH50, "LL", D48:AH48) + SUMIF(D50:AH50, "LL", D49:AH49)</f>
        <v>0</v>
      </c>
      <c r="AK48" s="7"/>
      <c r="AL48" s="7"/>
      <c r="AM48" s="100">
        <f t="shared" ref="AM48" si="56">SUMIF(D50:AH50, "CO", D48:AH48) + SUMIF(D50:AH50, "CO", D49:AH49)</f>
        <v>0</v>
      </c>
      <c r="AN48" s="59">
        <f>SUM(AI48:AM48)</f>
        <v>0</v>
      </c>
      <c r="AO48" s="5"/>
      <c r="AP48" s="73"/>
      <c r="AQ48" s="135"/>
      <c r="AR48" s="5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120"/>
      <c r="BG48" s="120"/>
      <c r="BH48" s="120"/>
      <c r="BI48" s="120"/>
      <c r="BJ48" s="120"/>
      <c r="BK48" s="120"/>
      <c r="BL48" s="120"/>
      <c r="BM48" s="120"/>
      <c r="BN48" s="120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 s="83">
        <f t="shared" si="34"/>
        <v>0</v>
      </c>
      <c r="CE48" s="66">
        <f t="shared" si="35"/>
        <v>0</v>
      </c>
      <c r="CF48" s="83">
        <f t="shared" si="36"/>
        <v>0</v>
      </c>
      <c r="CG48" s="65">
        <f t="shared" si="37"/>
        <v>0</v>
      </c>
      <c r="CH48" s="83">
        <f t="shared" si="38"/>
        <v>0</v>
      </c>
      <c r="CI48" s="65">
        <f t="shared" si="39"/>
        <v>0</v>
      </c>
      <c r="CJ48" s="83">
        <f t="shared" si="40"/>
        <v>0</v>
      </c>
      <c r="CK48" s="65">
        <f t="shared" si="41"/>
        <v>0</v>
      </c>
      <c r="CL48" s="83">
        <f t="shared" si="42"/>
        <v>0</v>
      </c>
      <c r="CM48" s="83">
        <f t="shared" si="43"/>
        <v>0</v>
      </c>
      <c r="CN48" s="117">
        <f t="shared" si="44"/>
        <v>0</v>
      </c>
      <c r="CO48" s="117">
        <f t="shared" si="45"/>
        <v>0</v>
      </c>
      <c r="CP48" s="117">
        <f t="shared" si="46"/>
        <v>0</v>
      </c>
      <c r="CQ48" s="117">
        <f t="shared" si="47"/>
        <v>0</v>
      </c>
      <c r="CR48"/>
      <c r="CS48" s="83">
        <f t="shared" si="50"/>
        <v>0</v>
      </c>
      <c r="CT48" s="83">
        <f t="shared" si="51"/>
        <v>0</v>
      </c>
      <c r="CU48" s="83">
        <f t="shared" si="52"/>
        <v>0</v>
      </c>
      <c r="CV48" s="117">
        <v>0</v>
      </c>
      <c r="CW48" s="117">
        <v>0</v>
      </c>
      <c r="CX48" s="117">
        <v>0</v>
      </c>
      <c r="CY48" s="117">
        <v>0</v>
      </c>
      <c r="CZ48"/>
      <c r="DA48"/>
      <c r="DB48"/>
      <c r="DC48"/>
      <c r="DD48"/>
      <c r="DE48"/>
    </row>
    <row r="49" spans="1:109" s="49" customFormat="1" ht="21" x14ac:dyDescent="0.25">
      <c r="A49" s="195"/>
      <c r="B49" s="149"/>
      <c r="C49" s="3" t="s">
        <v>12</v>
      </c>
      <c r="D49" s="147"/>
      <c r="E49" s="147"/>
      <c r="F49" s="141"/>
      <c r="G49" s="145"/>
      <c r="H49" s="143"/>
      <c r="I49" s="143"/>
      <c r="J49" s="141"/>
      <c r="K49" s="141"/>
      <c r="L49" s="141"/>
      <c r="M49" s="141"/>
      <c r="N49" s="145"/>
      <c r="O49" s="143"/>
      <c r="P49" s="143"/>
      <c r="Q49" s="141"/>
      <c r="R49" s="141"/>
      <c r="S49" s="141"/>
      <c r="T49" s="159"/>
      <c r="U49" s="145"/>
      <c r="V49" s="143"/>
      <c r="W49" s="143"/>
      <c r="X49" s="141"/>
      <c r="Y49" s="141"/>
      <c r="Z49" s="145"/>
      <c r="AA49" s="145"/>
      <c r="AB49" s="141"/>
      <c r="AC49" s="143"/>
      <c r="AD49" s="143"/>
      <c r="AE49" s="143"/>
      <c r="AF49" s="143"/>
      <c r="AG49" s="141"/>
      <c r="AH49" s="157"/>
      <c r="AI49" s="155"/>
      <c r="AJ49" s="11"/>
      <c r="AK49" s="7"/>
      <c r="AL49" s="7"/>
      <c r="AM49" s="11"/>
      <c r="AN49" s="59"/>
      <c r="AO49" s="5"/>
      <c r="AP49" s="78"/>
      <c r="AQ49" s="135"/>
      <c r="AR49" s="5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 s="83">
        <f t="shared" si="34"/>
        <v>0</v>
      </c>
      <c r="CE49" s="66">
        <f t="shared" si="35"/>
        <v>0</v>
      </c>
      <c r="CF49" s="83">
        <f t="shared" si="36"/>
        <v>0</v>
      </c>
      <c r="CG49" s="65">
        <f t="shared" si="37"/>
        <v>0</v>
      </c>
      <c r="CH49" s="83">
        <f t="shared" si="38"/>
        <v>0</v>
      </c>
      <c r="CI49" s="65">
        <f t="shared" si="39"/>
        <v>0</v>
      </c>
      <c r="CJ49" s="83">
        <f t="shared" si="40"/>
        <v>0</v>
      </c>
      <c r="CK49" s="65">
        <f t="shared" si="41"/>
        <v>0</v>
      </c>
      <c r="CL49" s="83">
        <f t="shared" si="42"/>
        <v>0</v>
      </c>
      <c r="CM49" s="83">
        <f t="shared" si="43"/>
        <v>0</v>
      </c>
      <c r="CN49" s="117">
        <f t="shared" si="44"/>
        <v>0</v>
      </c>
      <c r="CO49" s="117">
        <f t="shared" si="45"/>
        <v>0</v>
      </c>
      <c r="CP49" s="117">
        <f t="shared" si="46"/>
        <v>0</v>
      </c>
      <c r="CQ49" s="117">
        <f t="shared" si="47"/>
        <v>0</v>
      </c>
      <c r="CR49"/>
      <c r="CS49" s="83">
        <f t="shared" si="50"/>
        <v>0</v>
      </c>
      <c r="CT49" s="83">
        <f t="shared" si="51"/>
        <v>0</v>
      </c>
      <c r="CU49" s="83">
        <f t="shared" si="52"/>
        <v>0</v>
      </c>
      <c r="CV49" s="117">
        <v>0</v>
      </c>
      <c r="CW49" s="117">
        <v>0</v>
      </c>
      <c r="CX49" s="117">
        <v>0</v>
      </c>
      <c r="CY49" s="117">
        <v>0</v>
      </c>
      <c r="CZ49"/>
      <c r="DA49"/>
      <c r="DB49"/>
      <c r="DC49"/>
      <c r="DD49"/>
      <c r="DE49"/>
    </row>
    <row r="50" spans="1:109" s="49" customFormat="1" ht="22" thickBot="1" x14ac:dyDescent="0.3">
      <c r="A50" s="196"/>
      <c r="B50" s="150"/>
      <c r="C50" s="92" t="s">
        <v>4</v>
      </c>
      <c r="D50" s="88"/>
      <c r="E50" s="88"/>
      <c r="F50" s="88"/>
      <c r="G50" s="89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90"/>
      <c r="AI50" s="36"/>
      <c r="AJ50" s="34"/>
      <c r="AK50" s="7"/>
      <c r="AL50" s="7"/>
      <c r="AM50" s="34"/>
      <c r="AN50" s="59"/>
      <c r="AO50" s="5"/>
      <c r="AP50" s="78"/>
      <c r="AQ50" s="135"/>
      <c r="AR50" s="5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 s="83">
        <f t="shared" si="34"/>
        <v>0</v>
      </c>
      <c r="CE50" s="66">
        <f t="shared" si="35"/>
        <v>0</v>
      </c>
      <c r="CF50" s="83">
        <f t="shared" si="36"/>
        <v>0</v>
      </c>
      <c r="CG50" s="65">
        <f t="shared" si="37"/>
        <v>0</v>
      </c>
      <c r="CH50" s="83">
        <f t="shared" si="38"/>
        <v>0</v>
      </c>
      <c r="CI50" s="65">
        <f t="shared" si="39"/>
        <v>0</v>
      </c>
      <c r="CJ50" s="83">
        <f t="shared" si="40"/>
        <v>0</v>
      </c>
      <c r="CK50" s="65">
        <f t="shared" si="41"/>
        <v>0</v>
      </c>
      <c r="CL50" s="83">
        <f t="shared" si="42"/>
        <v>0</v>
      </c>
      <c r="CM50" s="83">
        <f t="shared" si="43"/>
        <v>0</v>
      </c>
      <c r="CN50" s="117">
        <f t="shared" si="44"/>
        <v>0</v>
      </c>
      <c r="CO50" s="117">
        <f t="shared" si="45"/>
        <v>0</v>
      </c>
      <c r="CP50" s="117">
        <f t="shared" si="46"/>
        <v>0</v>
      </c>
      <c r="CQ50" s="117">
        <f t="shared" si="47"/>
        <v>0</v>
      </c>
      <c r="CR50"/>
      <c r="CS50" s="83">
        <f t="shared" si="50"/>
        <v>0</v>
      </c>
      <c r="CT50" s="83">
        <f t="shared" si="51"/>
        <v>0</v>
      </c>
      <c r="CU50" s="83">
        <f t="shared" si="52"/>
        <v>0</v>
      </c>
      <c r="CV50" s="117">
        <v>0</v>
      </c>
      <c r="CW50" s="117">
        <v>0</v>
      </c>
      <c r="CX50" s="117">
        <v>0</v>
      </c>
      <c r="CY50" s="117">
        <v>0</v>
      </c>
      <c r="CZ50"/>
      <c r="DA50"/>
      <c r="DB50"/>
      <c r="DC50"/>
      <c r="DD50"/>
      <c r="DE50"/>
    </row>
    <row r="51" spans="1:109" s="49" customFormat="1" ht="19" customHeight="1" thickTop="1" x14ac:dyDescent="0.25">
      <c r="A51" s="194">
        <v>15</v>
      </c>
      <c r="B51" s="148"/>
      <c r="C51" s="91" t="s">
        <v>11</v>
      </c>
      <c r="D51" s="146"/>
      <c r="E51" s="146"/>
      <c r="F51" s="140"/>
      <c r="G51" s="144"/>
      <c r="H51" s="142"/>
      <c r="I51" s="142"/>
      <c r="J51" s="140"/>
      <c r="K51" s="140"/>
      <c r="L51" s="140"/>
      <c r="M51" s="140"/>
      <c r="N51" s="144"/>
      <c r="O51" s="142"/>
      <c r="P51" s="142"/>
      <c r="Q51" s="140"/>
      <c r="R51" s="140"/>
      <c r="S51" s="140"/>
      <c r="T51" s="158"/>
      <c r="U51" s="144"/>
      <c r="V51" s="142"/>
      <c r="W51" s="142"/>
      <c r="X51" s="140"/>
      <c r="Y51" s="140"/>
      <c r="Z51" s="144"/>
      <c r="AA51" s="144"/>
      <c r="AB51" s="140"/>
      <c r="AC51" s="142"/>
      <c r="AD51" s="142"/>
      <c r="AE51" s="142"/>
      <c r="AF51" s="142"/>
      <c r="AG51" s="140"/>
      <c r="AH51" s="156"/>
      <c r="AI51" s="154">
        <f t="shared" ref="AI51" si="57">SUM(D51:AH51)</f>
        <v>0</v>
      </c>
      <c r="AJ51" s="86">
        <f>SUMIF(D53:AH53, "LL", D51:AH51) + SUMIF(D53:AH53, "LL", D52:AH52)</f>
        <v>0</v>
      </c>
      <c r="AK51" s="7"/>
      <c r="AL51" s="7"/>
      <c r="AM51" s="99">
        <f t="shared" ref="AM51" si="58">SUMIF(D53:AH53, "CO", D51:AH51) + SUMIF(D53:AH53, "CO", D52:AH52)</f>
        <v>0</v>
      </c>
      <c r="AN51" s="59">
        <f>SUM(AI51:AM51)</f>
        <v>0</v>
      </c>
      <c r="AO51" s="5"/>
      <c r="AP51" s="73"/>
      <c r="AQ51" s="135"/>
      <c r="AR51" s="5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 s="83">
        <f t="shared" si="34"/>
        <v>0</v>
      </c>
      <c r="CE51" s="66">
        <f t="shared" si="35"/>
        <v>0</v>
      </c>
      <c r="CF51" s="83">
        <f t="shared" si="36"/>
        <v>0</v>
      </c>
      <c r="CG51" s="65">
        <f t="shared" si="37"/>
        <v>0</v>
      </c>
      <c r="CH51" s="83">
        <f t="shared" si="38"/>
        <v>0</v>
      </c>
      <c r="CI51" s="65">
        <f t="shared" si="39"/>
        <v>0</v>
      </c>
      <c r="CJ51" s="83">
        <f t="shared" si="40"/>
        <v>0</v>
      </c>
      <c r="CK51" s="65">
        <f t="shared" si="41"/>
        <v>0</v>
      </c>
      <c r="CL51" s="83">
        <f t="shared" si="42"/>
        <v>0</v>
      </c>
      <c r="CM51" s="83">
        <f t="shared" si="43"/>
        <v>0</v>
      </c>
      <c r="CN51" s="117">
        <f t="shared" si="44"/>
        <v>0</v>
      </c>
      <c r="CO51" s="117">
        <f t="shared" si="45"/>
        <v>0</v>
      </c>
      <c r="CP51" s="117">
        <f t="shared" si="46"/>
        <v>0</v>
      </c>
      <c r="CQ51" s="117">
        <f t="shared" si="47"/>
        <v>0</v>
      </c>
      <c r="CR51"/>
      <c r="CS51" s="83">
        <f t="shared" si="50"/>
        <v>0</v>
      </c>
      <c r="CT51" s="83">
        <f t="shared" si="51"/>
        <v>0</v>
      </c>
      <c r="CU51" s="83">
        <f t="shared" si="52"/>
        <v>0</v>
      </c>
      <c r="CV51" s="117">
        <v>0</v>
      </c>
      <c r="CW51" s="117">
        <v>0</v>
      </c>
      <c r="CX51" s="117">
        <v>0</v>
      </c>
      <c r="CY51" s="117">
        <v>0</v>
      </c>
      <c r="CZ51"/>
      <c r="DA51"/>
      <c r="DB51"/>
      <c r="DC51"/>
      <c r="DD51"/>
      <c r="DE51"/>
    </row>
    <row r="52" spans="1:109" s="49" customFormat="1" ht="21" x14ac:dyDescent="0.25">
      <c r="A52" s="195"/>
      <c r="B52" s="149"/>
      <c r="C52" s="3" t="s">
        <v>12</v>
      </c>
      <c r="D52" s="147"/>
      <c r="E52" s="147"/>
      <c r="F52" s="141"/>
      <c r="G52" s="145"/>
      <c r="H52" s="143"/>
      <c r="I52" s="143"/>
      <c r="J52" s="141"/>
      <c r="K52" s="141"/>
      <c r="L52" s="141"/>
      <c r="M52" s="141"/>
      <c r="N52" s="145"/>
      <c r="O52" s="143"/>
      <c r="P52" s="143"/>
      <c r="Q52" s="141"/>
      <c r="R52" s="141"/>
      <c r="S52" s="141"/>
      <c r="T52" s="159"/>
      <c r="U52" s="145"/>
      <c r="V52" s="143"/>
      <c r="W52" s="143"/>
      <c r="X52" s="141"/>
      <c r="Y52" s="141"/>
      <c r="Z52" s="145"/>
      <c r="AA52" s="145"/>
      <c r="AB52" s="141"/>
      <c r="AC52" s="143"/>
      <c r="AD52" s="143"/>
      <c r="AE52" s="143"/>
      <c r="AF52" s="143"/>
      <c r="AG52" s="141"/>
      <c r="AH52" s="157"/>
      <c r="AI52" s="155"/>
      <c r="AJ52" s="11"/>
      <c r="AK52" s="7"/>
      <c r="AL52" s="7"/>
      <c r="AM52" s="11"/>
      <c r="AN52" s="59"/>
      <c r="AO52" s="5"/>
      <c r="AP52" s="78"/>
      <c r="AQ52" s="135"/>
      <c r="AR52" s="5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 s="83">
        <f t="shared" si="34"/>
        <v>0</v>
      </c>
      <c r="CE52" s="66">
        <f t="shared" si="35"/>
        <v>0</v>
      </c>
      <c r="CF52" s="83">
        <f t="shared" si="36"/>
        <v>0</v>
      </c>
      <c r="CG52" s="65">
        <f t="shared" si="37"/>
        <v>0</v>
      </c>
      <c r="CH52" s="83">
        <f t="shared" si="38"/>
        <v>0</v>
      </c>
      <c r="CI52" s="65">
        <f t="shared" si="39"/>
        <v>0</v>
      </c>
      <c r="CJ52" s="83">
        <f t="shared" si="40"/>
        <v>0</v>
      </c>
      <c r="CK52" s="65">
        <f t="shared" si="41"/>
        <v>0</v>
      </c>
      <c r="CL52" s="83">
        <f t="shared" si="42"/>
        <v>0</v>
      </c>
      <c r="CM52" s="83">
        <f t="shared" si="43"/>
        <v>0</v>
      </c>
      <c r="CN52" s="117">
        <f t="shared" si="44"/>
        <v>0</v>
      </c>
      <c r="CO52" s="117">
        <f t="shared" si="45"/>
        <v>0</v>
      </c>
      <c r="CP52" s="117">
        <f t="shared" si="46"/>
        <v>0</v>
      </c>
      <c r="CQ52" s="117">
        <f t="shared" si="47"/>
        <v>0</v>
      </c>
      <c r="CR52"/>
      <c r="CS52" s="83">
        <f t="shared" si="50"/>
        <v>0</v>
      </c>
      <c r="CT52" s="83">
        <f t="shared" si="51"/>
        <v>0</v>
      </c>
      <c r="CU52" s="83">
        <f t="shared" si="52"/>
        <v>0</v>
      </c>
      <c r="CV52" s="117">
        <v>0</v>
      </c>
      <c r="CW52" s="117">
        <v>0</v>
      </c>
      <c r="CX52" s="117">
        <v>0</v>
      </c>
      <c r="CY52" s="117">
        <v>0</v>
      </c>
      <c r="CZ52"/>
      <c r="DA52"/>
      <c r="DB52"/>
      <c r="DC52"/>
      <c r="DD52"/>
      <c r="DE52"/>
    </row>
    <row r="53" spans="1:109" s="49" customFormat="1" ht="22" thickBot="1" x14ac:dyDescent="0.3">
      <c r="A53" s="196"/>
      <c r="B53" s="150"/>
      <c r="C53" s="92" t="s">
        <v>4</v>
      </c>
      <c r="D53" s="88"/>
      <c r="E53" s="88"/>
      <c r="F53" s="88"/>
      <c r="G53" s="89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90"/>
      <c r="AI53" s="36"/>
      <c r="AJ53" s="34"/>
      <c r="AK53" s="7"/>
      <c r="AL53" s="7"/>
      <c r="AM53" s="34"/>
      <c r="AN53" s="59"/>
      <c r="AO53" s="5"/>
      <c r="AP53" s="78"/>
      <c r="AQ53" s="135"/>
      <c r="AR53" s="5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 s="83">
        <f t="shared" si="34"/>
        <v>0</v>
      </c>
      <c r="CE53" s="66">
        <f t="shared" si="35"/>
        <v>0</v>
      </c>
      <c r="CF53" s="83">
        <f t="shared" si="36"/>
        <v>0</v>
      </c>
      <c r="CG53" s="65">
        <f t="shared" si="37"/>
        <v>0</v>
      </c>
      <c r="CH53" s="83">
        <f t="shared" si="38"/>
        <v>0</v>
      </c>
      <c r="CI53" s="65">
        <f t="shared" si="39"/>
        <v>0</v>
      </c>
      <c r="CJ53" s="83">
        <f t="shared" si="40"/>
        <v>0</v>
      </c>
      <c r="CK53" s="65">
        <f t="shared" si="41"/>
        <v>0</v>
      </c>
      <c r="CL53" s="83">
        <f t="shared" si="42"/>
        <v>0</v>
      </c>
      <c r="CM53" s="83">
        <f t="shared" si="43"/>
        <v>0</v>
      </c>
      <c r="CN53" s="117">
        <f t="shared" si="44"/>
        <v>0</v>
      </c>
      <c r="CO53" s="117">
        <f t="shared" si="45"/>
        <v>0</v>
      </c>
      <c r="CP53" s="117">
        <f t="shared" si="46"/>
        <v>0</v>
      </c>
      <c r="CQ53" s="117">
        <f t="shared" si="47"/>
        <v>0</v>
      </c>
      <c r="CR53"/>
      <c r="CS53" s="83">
        <f t="shared" si="50"/>
        <v>0</v>
      </c>
      <c r="CT53" s="83">
        <f t="shared" si="51"/>
        <v>0</v>
      </c>
      <c r="CU53" s="83">
        <f t="shared" si="52"/>
        <v>0</v>
      </c>
      <c r="CV53" s="117">
        <v>0</v>
      </c>
      <c r="CW53" s="117">
        <v>0</v>
      </c>
      <c r="CX53" s="117">
        <v>0</v>
      </c>
      <c r="CY53" s="117">
        <v>0</v>
      </c>
      <c r="CZ53"/>
      <c r="DA53"/>
      <c r="DB53"/>
      <c r="DC53"/>
      <c r="DD53"/>
      <c r="DE53"/>
    </row>
    <row r="54" spans="1:109" s="49" customFormat="1" ht="19" customHeight="1" thickTop="1" x14ac:dyDescent="0.25">
      <c r="A54" s="194">
        <v>16</v>
      </c>
      <c r="B54" s="148"/>
      <c r="C54" s="91" t="s">
        <v>11</v>
      </c>
      <c r="D54" s="146"/>
      <c r="E54" s="146"/>
      <c r="F54" s="140"/>
      <c r="G54" s="144"/>
      <c r="H54" s="142"/>
      <c r="I54" s="142"/>
      <c r="J54" s="140"/>
      <c r="K54" s="140"/>
      <c r="L54" s="140"/>
      <c r="M54" s="140"/>
      <c r="N54" s="144"/>
      <c r="O54" s="142"/>
      <c r="P54" s="142"/>
      <c r="Q54" s="140"/>
      <c r="R54" s="140"/>
      <c r="S54" s="140"/>
      <c r="T54" s="158"/>
      <c r="U54" s="144"/>
      <c r="V54" s="142"/>
      <c r="W54" s="142"/>
      <c r="X54" s="140"/>
      <c r="Y54" s="140"/>
      <c r="Z54" s="144"/>
      <c r="AA54" s="144"/>
      <c r="AB54" s="140"/>
      <c r="AC54" s="142"/>
      <c r="AD54" s="142"/>
      <c r="AE54" s="142"/>
      <c r="AF54" s="142"/>
      <c r="AG54" s="140"/>
      <c r="AH54" s="156"/>
      <c r="AI54" s="154">
        <f t="shared" ref="AI54" si="59">SUM(D54:AH54)</f>
        <v>0</v>
      </c>
      <c r="AJ54" s="87">
        <f>SUMIF(D56:AH56, "LL", D54:AH54) + SUMIF(D56:AH56, "LL", D55:AH55)</f>
        <v>0</v>
      </c>
      <c r="AK54" s="7"/>
      <c r="AL54" s="7"/>
      <c r="AM54" s="100">
        <f t="shared" ref="AM54" si="60">SUMIF(D56:AH56, "CO", D54:AH54) + SUMIF(D56:AH56, "CO", D55:AH55)</f>
        <v>0</v>
      </c>
      <c r="AN54" s="59">
        <f>SUM(AI54:AM54)</f>
        <v>0</v>
      </c>
      <c r="AO54" s="5"/>
      <c r="AP54" s="73"/>
      <c r="AQ54" s="135"/>
      <c r="AR54" s="5"/>
      <c r="AS54" s="120"/>
      <c r="AT54" s="120"/>
      <c r="AU54" s="120"/>
      <c r="AV54" s="120"/>
      <c r="AW54" s="120"/>
      <c r="AX54" s="120"/>
      <c r="AY54" s="120"/>
      <c r="AZ54" s="120"/>
      <c r="BA54" s="120"/>
      <c r="BB54" s="120"/>
      <c r="BC54" s="120"/>
      <c r="BD54" s="120"/>
      <c r="BE54" s="120"/>
      <c r="BF54" s="120"/>
      <c r="BG54" s="120"/>
      <c r="BH54" s="120"/>
      <c r="BI54" s="120"/>
      <c r="BJ54" s="120"/>
      <c r="BK54" s="120"/>
      <c r="BL54" s="120"/>
      <c r="BM54" s="120"/>
      <c r="BN54" s="120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 s="83">
        <f t="shared" si="34"/>
        <v>0</v>
      </c>
      <c r="CE54" s="66">
        <f t="shared" si="35"/>
        <v>0</v>
      </c>
      <c r="CF54" s="83">
        <f t="shared" si="36"/>
        <v>0</v>
      </c>
      <c r="CG54" s="65">
        <f t="shared" si="37"/>
        <v>0</v>
      </c>
      <c r="CH54" s="83">
        <f t="shared" si="38"/>
        <v>0</v>
      </c>
      <c r="CI54" s="65">
        <f t="shared" si="39"/>
        <v>0</v>
      </c>
      <c r="CJ54" s="83">
        <f t="shared" si="40"/>
        <v>0</v>
      </c>
      <c r="CK54" s="65">
        <f t="shared" si="41"/>
        <v>0</v>
      </c>
      <c r="CL54" s="83">
        <f t="shared" si="42"/>
        <v>0</v>
      </c>
      <c r="CM54" s="83">
        <f t="shared" si="43"/>
        <v>0</v>
      </c>
      <c r="CN54" s="117">
        <f t="shared" si="44"/>
        <v>0</v>
      </c>
      <c r="CO54" s="117">
        <f t="shared" si="45"/>
        <v>0</v>
      </c>
      <c r="CP54" s="117">
        <f t="shared" si="46"/>
        <v>0</v>
      </c>
      <c r="CQ54" s="117">
        <f t="shared" si="47"/>
        <v>0</v>
      </c>
      <c r="CR54"/>
      <c r="CS54" s="83">
        <f t="shared" si="50"/>
        <v>0</v>
      </c>
      <c r="CT54" s="83">
        <f t="shared" si="51"/>
        <v>0</v>
      </c>
      <c r="CU54" s="83">
        <f t="shared" si="52"/>
        <v>0</v>
      </c>
      <c r="CV54" s="117">
        <v>0</v>
      </c>
      <c r="CW54" s="117">
        <v>0</v>
      </c>
      <c r="CX54" s="117">
        <v>0</v>
      </c>
      <c r="CY54" s="117">
        <v>0</v>
      </c>
      <c r="CZ54"/>
      <c r="DA54"/>
      <c r="DB54"/>
      <c r="DC54"/>
      <c r="DD54"/>
      <c r="DE54"/>
    </row>
    <row r="55" spans="1:109" s="49" customFormat="1" ht="21" x14ac:dyDescent="0.25">
      <c r="A55" s="195"/>
      <c r="B55" s="149"/>
      <c r="C55" s="3" t="s">
        <v>12</v>
      </c>
      <c r="D55" s="147"/>
      <c r="E55" s="147"/>
      <c r="F55" s="141"/>
      <c r="G55" s="145"/>
      <c r="H55" s="143"/>
      <c r="I55" s="143"/>
      <c r="J55" s="141"/>
      <c r="K55" s="141"/>
      <c r="L55" s="141"/>
      <c r="M55" s="141"/>
      <c r="N55" s="145"/>
      <c r="O55" s="143"/>
      <c r="P55" s="143"/>
      <c r="Q55" s="141"/>
      <c r="R55" s="141"/>
      <c r="S55" s="141"/>
      <c r="T55" s="159"/>
      <c r="U55" s="145"/>
      <c r="V55" s="143"/>
      <c r="W55" s="143"/>
      <c r="X55" s="141"/>
      <c r="Y55" s="141"/>
      <c r="Z55" s="145"/>
      <c r="AA55" s="145"/>
      <c r="AB55" s="141"/>
      <c r="AC55" s="143"/>
      <c r="AD55" s="143"/>
      <c r="AE55" s="143"/>
      <c r="AF55" s="143"/>
      <c r="AG55" s="141"/>
      <c r="AH55" s="157"/>
      <c r="AI55" s="155"/>
      <c r="AJ55" s="11"/>
      <c r="AK55" s="7"/>
      <c r="AL55" s="7"/>
      <c r="AM55" s="11"/>
      <c r="AN55" s="59"/>
      <c r="AO55" s="5"/>
      <c r="AP55" s="78"/>
      <c r="AQ55" s="135"/>
      <c r="AR55" s="5"/>
      <c r="AS55" s="120"/>
      <c r="AT55" s="120"/>
      <c r="AU55" s="120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120"/>
      <c r="BG55" s="120"/>
      <c r="BH55" s="120"/>
      <c r="BI55" s="120"/>
      <c r="BJ55" s="120"/>
      <c r="BK55" s="120"/>
      <c r="BL55" s="120"/>
      <c r="BM55" s="120"/>
      <c r="BN55" s="120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 s="83">
        <f t="shared" si="34"/>
        <v>0</v>
      </c>
      <c r="CE55" s="66">
        <f t="shared" si="35"/>
        <v>0</v>
      </c>
      <c r="CF55" s="83">
        <f t="shared" si="36"/>
        <v>0</v>
      </c>
      <c r="CG55" s="65">
        <f t="shared" si="37"/>
        <v>0</v>
      </c>
      <c r="CH55" s="83">
        <f t="shared" si="38"/>
        <v>0</v>
      </c>
      <c r="CI55" s="65">
        <f t="shared" si="39"/>
        <v>0</v>
      </c>
      <c r="CJ55" s="83">
        <f t="shared" si="40"/>
        <v>0</v>
      </c>
      <c r="CK55" s="65">
        <f t="shared" si="41"/>
        <v>0</v>
      </c>
      <c r="CL55" s="83">
        <f t="shared" si="42"/>
        <v>0</v>
      </c>
      <c r="CM55" s="83">
        <f t="shared" si="43"/>
        <v>0</v>
      </c>
      <c r="CN55" s="117">
        <f t="shared" si="44"/>
        <v>0</v>
      </c>
      <c r="CO55" s="117">
        <f t="shared" si="45"/>
        <v>0</v>
      </c>
      <c r="CP55" s="117">
        <f t="shared" si="46"/>
        <v>0</v>
      </c>
      <c r="CQ55" s="117">
        <f t="shared" si="47"/>
        <v>0</v>
      </c>
      <c r="CR55"/>
      <c r="CS55" s="83">
        <f t="shared" si="50"/>
        <v>0</v>
      </c>
      <c r="CT55" s="83">
        <f t="shared" si="51"/>
        <v>0</v>
      </c>
      <c r="CU55" s="83">
        <f t="shared" si="52"/>
        <v>0</v>
      </c>
      <c r="CV55" s="117">
        <v>0</v>
      </c>
      <c r="CW55" s="117">
        <v>0</v>
      </c>
      <c r="CX55" s="117">
        <v>0</v>
      </c>
      <c r="CY55" s="117">
        <v>0</v>
      </c>
      <c r="CZ55"/>
      <c r="DA55"/>
      <c r="DB55"/>
      <c r="DC55"/>
      <c r="DD55"/>
      <c r="DE55"/>
    </row>
    <row r="56" spans="1:109" s="49" customFormat="1" ht="22" thickBot="1" x14ac:dyDescent="0.3">
      <c r="A56" s="196"/>
      <c r="B56" s="150"/>
      <c r="C56" s="92" t="s">
        <v>4</v>
      </c>
      <c r="D56" s="88"/>
      <c r="E56" s="88"/>
      <c r="F56" s="88"/>
      <c r="G56" s="89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90"/>
      <c r="AI56" s="36"/>
      <c r="AJ56" s="34"/>
      <c r="AK56" s="7"/>
      <c r="AL56" s="7"/>
      <c r="AM56" s="34"/>
      <c r="AN56" s="59"/>
      <c r="AO56" s="5"/>
      <c r="AP56" s="78"/>
      <c r="AQ56" s="135"/>
      <c r="AR56" s="5"/>
      <c r="AS56" s="120"/>
      <c r="AT56" s="120"/>
      <c r="AU56" s="120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120"/>
      <c r="BG56" s="120"/>
      <c r="BH56" s="120"/>
      <c r="BI56" s="120"/>
      <c r="BJ56" s="120"/>
      <c r="BK56" s="120"/>
      <c r="BL56" s="120"/>
      <c r="BM56" s="120"/>
      <c r="BN56" s="120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 s="83">
        <f t="shared" si="34"/>
        <v>0</v>
      </c>
      <c r="CE56" s="66">
        <f t="shared" si="35"/>
        <v>0</v>
      </c>
      <c r="CF56" s="83">
        <f t="shared" si="36"/>
        <v>0</v>
      </c>
      <c r="CG56" s="65">
        <f t="shared" si="37"/>
        <v>0</v>
      </c>
      <c r="CH56" s="83">
        <f t="shared" si="38"/>
        <v>0</v>
      </c>
      <c r="CI56" s="65">
        <f t="shared" si="39"/>
        <v>0</v>
      </c>
      <c r="CJ56" s="83">
        <f t="shared" si="40"/>
        <v>0</v>
      </c>
      <c r="CK56" s="65">
        <f t="shared" si="41"/>
        <v>0</v>
      </c>
      <c r="CL56" s="83">
        <f t="shared" si="42"/>
        <v>0</v>
      </c>
      <c r="CM56" s="83">
        <f t="shared" si="43"/>
        <v>0</v>
      </c>
      <c r="CN56" s="117">
        <f t="shared" si="44"/>
        <v>0</v>
      </c>
      <c r="CO56" s="117">
        <f t="shared" si="45"/>
        <v>0</v>
      </c>
      <c r="CP56" s="117">
        <f t="shared" si="46"/>
        <v>0</v>
      </c>
      <c r="CQ56" s="117">
        <f t="shared" si="47"/>
        <v>0</v>
      </c>
      <c r="CR56"/>
      <c r="CS56" s="83">
        <f t="shared" si="50"/>
        <v>0</v>
      </c>
      <c r="CT56" s="83">
        <f t="shared" si="51"/>
        <v>0</v>
      </c>
      <c r="CU56" s="83">
        <f t="shared" si="52"/>
        <v>0</v>
      </c>
      <c r="CV56" s="117">
        <v>0</v>
      </c>
      <c r="CW56" s="117">
        <v>0</v>
      </c>
      <c r="CX56" s="117">
        <v>0</v>
      </c>
      <c r="CY56" s="117">
        <v>0</v>
      </c>
      <c r="CZ56"/>
      <c r="DA56"/>
      <c r="DB56"/>
      <c r="DC56"/>
      <c r="DD56"/>
      <c r="DE56"/>
    </row>
    <row r="57" spans="1:109" s="49" customFormat="1" ht="19" customHeight="1" thickTop="1" x14ac:dyDescent="0.25">
      <c r="A57" s="194">
        <v>17</v>
      </c>
      <c r="B57" s="148"/>
      <c r="C57" s="91" t="s">
        <v>11</v>
      </c>
      <c r="D57" s="146"/>
      <c r="E57" s="146"/>
      <c r="F57" s="140"/>
      <c r="G57" s="144"/>
      <c r="H57" s="142"/>
      <c r="I57" s="142"/>
      <c r="J57" s="140"/>
      <c r="K57" s="140"/>
      <c r="L57" s="140"/>
      <c r="M57" s="140"/>
      <c r="N57" s="144"/>
      <c r="O57" s="142"/>
      <c r="P57" s="142"/>
      <c r="Q57" s="140"/>
      <c r="R57" s="140"/>
      <c r="S57" s="140"/>
      <c r="T57" s="158"/>
      <c r="U57" s="144"/>
      <c r="V57" s="142"/>
      <c r="W57" s="142"/>
      <c r="X57" s="140"/>
      <c r="Y57" s="140"/>
      <c r="Z57" s="144"/>
      <c r="AA57" s="144"/>
      <c r="AB57" s="140"/>
      <c r="AC57" s="142"/>
      <c r="AD57" s="142"/>
      <c r="AE57" s="142"/>
      <c r="AF57" s="142"/>
      <c r="AG57" s="140"/>
      <c r="AH57" s="156"/>
      <c r="AI57" s="154">
        <f t="shared" ref="AI57" si="61">SUM(D57:AH57)</f>
        <v>0</v>
      </c>
      <c r="AJ57" s="86">
        <f>SUMIF(D59:AH59, "LL", D57:AH57) + SUMIF(D59:AH59, "LL", D58:AH58)</f>
        <v>0</v>
      </c>
      <c r="AK57" s="7"/>
      <c r="AL57" s="7"/>
      <c r="AM57" s="99">
        <f t="shared" ref="AM57" si="62">SUMIF(D59:AH59, "CO", D57:AH57) + SUMIF(D59:AH59, "CO", D58:AH58)</f>
        <v>0</v>
      </c>
      <c r="AN57" s="59">
        <f t="shared" ref="AN57" si="63">SUM(AI57:AM57)</f>
        <v>0</v>
      </c>
      <c r="AO57" s="5"/>
      <c r="AP57" s="73"/>
      <c r="AQ57" s="135"/>
      <c r="AR57" s="5"/>
      <c r="AS57" s="120"/>
      <c r="AT57" s="120"/>
      <c r="AU57" s="120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120"/>
      <c r="BG57" s="120"/>
      <c r="BH57" s="120"/>
      <c r="BI57" s="120"/>
      <c r="BJ57" s="120"/>
      <c r="BK57" s="120"/>
      <c r="BL57" s="120"/>
      <c r="BM57" s="120"/>
      <c r="BN57" s="120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 s="83">
        <f t="shared" si="34"/>
        <v>0</v>
      </c>
      <c r="CE57" s="66">
        <f t="shared" si="35"/>
        <v>0</v>
      </c>
      <c r="CF57" s="83">
        <f t="shared" si="36"/>
        <v>0</v>
      </c>
      <c r="CG57" s="65">
        <f t="shared" si="37"/>
        <v>0</v>
      </c>
      <c r="CH57" s="83">
        <f t="shared" si="38"/>
        <v>0</v>
      </c>
      <c r="CI57" s="65">
        <f t="shared" si="39"/>
        <v>0</v>
      </c>
      <c r="CJ57" s="83">
        <f t="shared" si="40"/>
        <v>0</v>
      </c>
      <c r="CK57" s="65">
        <f t="shared" si="41"/>
        <v>0</v>
      </c>
      <c r="CL57" s="83">
        <f t="shared" si="42"/>
        <v>0</v>
      </c>
      <c r="CM57" s="83">
        <f t="shared" si="43"/>
        <v>0</v>
      </c>
      <c r="CN57" s="117">
        <f t="shared" si="44"/>
        <v>0</v>
      </c>
      <c r="CO57" s="117">
        <f t="shared" si="45"/>
        <v>0</v>
      </c>
      <c r="CP57" s="117">
        <f t="shared" si="46"/>
        <v>0</v>
      </c>
      <c r="CQ57" s="117">
        <f t="shared" si="47"/>
        <v>0</v>
      </c>
      <c r="CR57"/>
      <c r="CS57" s="83">
        <f t="shared" si="50"/>
        <v>0</v>
      </c>
      <c r="CT57" s="83">
        <f t="shared" si="51"/>
        <v>0</v>
      </c>
      <c r="CU57" s="83">
        <f t="shared" si="52"/>
        <v>0</v>
      </c>
      <c r="CV57" s="117">
        <v>0</v>
      </c>
      <c r="CW57" s="117">
        <v>0</v>
      </c>
      <c r="CX57" s="117">
        <v>0</v>
      </c>
      <c r="CY57" s="117">
        <v>0</v>
      </c>
      <c r="CZ57"/>
      <c r="DA57"/>
      <c r="DB57"/>
      <c r="DC57"/>
      <c r="DD57"/>
      <c r="DE57"/>
    </row>
    <row r="58" spans="1:109" s="49" customFormat="1" ht="21" x14ac:dyDescent="0.25">
      <c r="A58" s="195"/>
      <c r="B58" s="149"/>
      <c r="C58" s="3" t="s">
        <v>12</v>
      </c>
      <c r="D58" s="147"/>
      <c r="E58" s="147"/>
      <c r="F58" s="141"/>
      <c r="G58" s="145"/>
      <c r="H58" s="143"/>
      <c r="I58" s="143"/>
      <c r="J58" s="141"/>
      <c r="K58" s="141"/>
      <c r="L58" s="141"/>
      <c r="M58" s="141"/>
      <c r="N58" s="145"/>
      <c r="O58" s="143"/>
      <c r="P58" s="143"/>
      <c r="Q58" s="141"/>
      <c r="R58" s="141"/>
      <c r="S58" s="141"/>
      <c r="T58" s="159"/>
      <c r="U58" s="145"/>
      <c r="V58" s="143"/>
      <c r="W58" s="143"/>
      <c r="X58" s="141"/>
      <c r="Y58" s="141"/>
      <c r="Z58" s="145"/>
      <c r="AA58" s="145"/>
      <c r="AB58" s="141"/>
      <c r="AC58" s="143"/>
      <c r="AD58" s="143"/>
      <c r="AE58" s="143"/>
      <c r="AF58" s="143"/>
      <c r="AG58" s="141"/>
      <c r="AH58" s="157"/>
      <c r="AI58" s="155"/>
      <c r="AJ58" s="11"/>
      <c r="AK58" s="7"/>
      <c r="AL58" s="7"/>
      <c r="AM58" s="11"/>
      <c r="AN58" s="59"/>
      <c r="AO58" s="5"/>
      <c r="AP58" s="78"/>
      <c r="AQ58" s="135"/>
      <c r="AR58" s="5"/>
      <c r="AS58" s="120"/>
      <c r="AT58" s="120"/>
      <c r="AU58" s="120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120"/>
      <c r="BG58" s="120"/>
      <c r="BH58" s="120"/>
      <c r="BI58" s="120"/>
      <c r="BJ58" s="120"/>
      <c r="BK58" s="120"/>
      <c r="BL58" s="120"/>
      <c r="BM58" s="120"/>
      <c r="BN58" s="120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 s="83">
        <f t="shared" si="34"/>
        <v>0</v>
      </c>
      <c r="CE58" s="66">
        <f t="shared" si="35"/>
        <v>0</v>
      </c>
      <c r="CF58" s="83">
        <f t="shared" si="36"/>
        <v>0</v>
      </c>
      <c r="CG58" s="65">
        <f t="shared" si="37"/>
        <v>0</v>
      </c>
      <c r="CH58" s="83">
        <f t="shared" si="38"/>
        <v>0</v>
      </c>
      <c r="CI58" s="65">
        <f t="shared" si="39"/>
        <v>0</v>
      </c>
      <c r="CJ58" s="83">
        <f t="shared" si="40"/>
        <v>0</v>
      </c>
      <c r="CK58" s="65">
        <f t="shared" si="41"/>
        <v>0</v>
      </c>
      <c r="CL58" s="83">
        <f t="shared" si="42"/>
        <v>0</v>
      </c>
      <c r="CM58" s="83">
        <f t="shared" si="43"/>
        <v>0</v>
      </c>
      <c r="CN58" s="117">
        <f t="shared" si="44"/>
        <v>0</v>
      </c>
      <c r="CO58" s="117">
        <f t="shared" si="45"/>
        <v>0</v>
      </c>
      <c r="CP58" s="117">
        <f t="shared" si="46"/>
        <v>0</v>
      </c>
      <c r="CQ58" s="117">
        <f t="shared" si="47"/>
        <v>0</v>
      </c>
      <c r="CR58"/>
      <c r="CS58" s="83">
        <f t="shared" si="50"/>
        <v>0</v>
      </c>
      <c r="CT58" s="83">
        <f t="shared" si="51"/>
        <v>0</v>
      </c>
      <c r="CU58" s="83">
        <f t="shared" si="52"/>
        <v>0</v>
      </c>
      <c r="CV58" s="117">
        <v>0</v>
      </c>
      <c r="CW58" s="117">
        <v>0</v>
      </c>
      <c r="CX58" s="117">
        <v>0</v>
      </c>
      <c r="CY58" s="117">
        <v>0</v>
      </c>
      <c r="CZ58"/>
      <c r="DA58"/>
      <c r="DB58"/>
      <c r="DC58"/>
      <c r="DD58"/>
      <c r="DE58"/>
    </row>
    <row r="59" spans="1:109" s="49" customFormat="1" ht="22" thickBot="1" x14ac:dyDescent="0.3">
      <c r="A59" s="196"/>
      <c r="B59" s="150"/>
      <c r="C59" s="92" t="s">
        <v>4</v>
      </c>
      <c r="D59" s="88"/>
      <c r="E59" s="88"/>
      <c r="F59" s="88"/>
      <c r="G59" s="89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90"/>
      <c r="AI59" s="36"/>
      <c r="AJ59" s="34"/>
      <c r="AK59" s="7"/>
      <c r="AL59" s="7"/>
      <c r="AM59" s="34"/>
      <c r="AN59" s="59"/>
      <c r="AO59" s="5"/>
      <c r="AP59" s="78"/>
      <c r="AQ59" s="135"/>
      <c r="AR59" s="5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120"/>
      <c r="BE59" s="120"/>
      <c r="BF59" s="120"/>
      <c r="BG59" s="120"/>
      <c r="BH59" s="120"/>
      <c r="BI59" s="120"/>
      <c r="BJ59" s="120"/>
      <c r="BK59" s="120"/>
      <c r="BL59" s="120"/>
      <c r="BM59" s="120"/>
      <c r="BN59" s="120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 s="83">
        <f t="shared" si="34"/>
        <v>0</v>
      </c>
      <c r="CE59" s="66">
        <f t="shared" si="35"/>
        <v>0</v>
      </c>
      <c r="CF59" s="83">
        <f t="shared" si="36"/>
        <v>0</v>
      </c>
      <c r="CG59" s="65">
        <f t="shared" si="37"/>
        <v>0</v>
      </c>
      <c r="CH59" s="83">
        <f t="shared" si="38"/>
        <v>0</v>
      </c>
      <c r="CI59" s="65">
        <f t="shared" si="39"/>
        <v>0</v>
      </c>
      <c r="CJ59" s="83">
        <f t="shared" si="40"/>
        <v>0</v>
      </c>
      <c r="CK59" s="65">
        <f t="shared" si="41"/>
        <v>0</v>
      </c>
      <c r="CL59" s="83">
        <f t="shared" si="42"/>
        <v>0</v>
      </c>
      <c r="CM59" s="83">
        <f t="shared" si="43"/>
        <v>0</v>
      </c>
      <c r="CN59" s="117">
        <f t="shared" si="44"/>
        <v>0</v>
      </c>
      <c r="CO59" s="117">
        <f t="shared" si="45"/>
        <v>0</v>
      </c>
      <c r="CP59" s="117">
        <f t="shared" si="46"/>
        <v>0</v>
      </c>
      <c r="CQ59" s="117">
        <f t="shared" si="47"/>
        <v>0</v>
      </c>
      <c r="CR59"/>
      <c r="CS59" s="83">
        <f t="shared" si="50"/>
        <v>0</v>
      </c>
      <c r="CT59" s="83">
        <f t="shared" si="51"/>
        <v>0</v>
      </c>
      <c r="CU59" s="83">
        <f t="shared" si="52"/>
        <v>0</v>
      </c>
      <c r="CV59" s="117">
        <v>0</v>
      </c>
      <c r="CW59" s="117">
        <v>0</v>
      </c>
      <c r="CX59" s="117">
        <v>0</v>
      </c>
      <c r="CY59" s="117">
        <v>0</v>
      </c>
      <c r="CZ59"/>
      <c r="DA59"/>
      <c r="DB59"/>
      <c r="DC59"/>
      <c r="DD59"/>
      <c r="DE59"/>
    </row>
    <row r="60" spans="1:109" s="49" customFormat="1" ht="19" customHeight="1" thickTop="1" x14ac:dyDescent="0.25">
      <c r="A60" s="194">
        <v>18</v>
      </c>
      <c r="B60" s="148"/>
      <c r="C60" s="91" t="s">
        <v>11</v>
      </c>
      <c r="D60" s="146"/>
      <c r="E60" s="146"/>
      <c r="F60" s="140"/>
      <c r="G60" s="144"/>
      <c r="H60" s="142"/>
      <c r="I60" s="142"/>
      <c r="J60" s="140"/>
      <c r="K60" s="140"/>
      <c r="L60" s="140"/>
      <c r="M60" s="140"/>
      <c r="N60" s="144"/>
      <c r="O60" s="142"/>
      <c r="P60" s="142"/>
      <c r="Q60" s="140"/>
      <c r="R60" s="140"/>
      <c r="S60" s="140"/>
      <c r="T60" s="158"/>
      <c r="U60" s="144"/>
      <c r="V60" s="142"/>
      <c r="W60" s="142"/>
      <c r="X60" s="140"/>
      <c r="Y60" s="140"/>
      <c r="Z60" s="144"/>
      <c r="AA60" s="144"/>
      <c r="AB60" s="140"/>
      <c r="AC60" s="142"/>
      <c r="AD60" s="142"/>
      <c r="AE60" s="142"/>
      <c r="AF60" s="142"/>
      <c r="AG60" s="140"/>
      <c r="AH60" s="156"/>
      <c r="AI60" s="154">
        <f t="shared" ref="AI60" si="64">SUM(D60:AH60)</f>
        <v>0</v>
      </c>
      <c r="AJ60" s="87">
        <f>SUMIF(D62:AH62, "LL", D60:AH60) + SUMIF(D62:AH62, "LL", D61:AH61)</f>
        <v>0</v>
      </c>
      <c r="AK60" s="7"/>
      <c r="AL60" s="7"/>
      <c r="AM60" s="100">
        <f t="shared" ref="AM60" si="65">SUMIF(D62:AH62, "CO", D60:AH60) + SUMIF(D62:AH62, "CO", D61:AH61)</f>
        <v>0</v>
      </c>
      <c r="AN60" s="59">
        <f t="shared" ref="AN60" si="66">SUM(AI60:AM60)</f>
        <v>0</v>
      </c>
      <c r="AO60" s="5"/>
      <c r="AP60" s="73"/>
      <c r="AQ60" s="135"/>
      <c r="AR60" s="5"/>
      <c r="AS60" s="120"/>
      <c r="AT60" s="120"/>
      <c r="AU60" s="120"/>
      <c r="AV60" s="120"/>
      <c r="AW60" s="120"/>
      <c r="AX60" s="120"/>
      <c r="AY60" s="120"/>
      <c r="AZ60" s="120"/>
      <c r="BA60" s="120"/>
      <c r="BB60" s="120"/>
      <c r="BC60" s="120"/>
      <c r="BD60" s="120"/>
      <c r="BE60" s="120"/>
      <c r="BF60" s="120"/>
      <c r="BG60" s="120"/>
      <c r="BH60" s="120"/>
      <c r="BI60" s="120"/>
      <c r="BJ60" s="120"/>
      <c r="BK60" s="120"/>
      <c r="BL60" s="120"/>
      <c r="BM60" s="120"/>
      <c r="BN60" s="12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 s="83">
        <f t="shared" si="34"/>
        <v>0</v>
      </c>
      <c r="CE60" s="66">
        <f t="shared" si="35"/>
        <v>0</v>
      </c>
      <c r="CF60" s="83">
        <f t="shared" si="36"/>
        <v>0</v>
      </c>
      <c r="CG60" s="65">
        <f t="shared" si="37"/>
        <v>0</v>
      </c>
      <c r="CH60" s="83">
        <f t="shared" si="38"/>
        <v>0</v>
      </c>
      <c r="CI60" s="65">
        <f t="shared" si="39"/>
        <v>0</v>
      </c>
      <c r="CJ60" s="83">
        <f t="shared" si="40"/>
        <v>0</v>
      </c>
      <c r="CK60" s="65">
        <f t="shared" si="41"/>
        <v>0</v>
      </c>
      <c r="CL60" s="83">
        <f t="shared" si="42"/>
        <v>0</v>
      </c>
      <c r="CM60" s="83">
        <f t="shared" si="43"/>
        <v>0</v>
      </c>
      <c r="CN60" s="117">
        <f t="shared" si="44"/>
        <v>0</v>
      </c>
      <c r="CO60" s="117">
        <f t="shared" si="45"/>
        <v>0</v>
      </c>
      <c r="CP60" s="117">
        <f t="shared" si="46"/>
        <v>0</v>
      </c>
      <c r="CQ60" s="117">
        <f t="shared" si="47"/>
        <v>0</v>
      </c>
      <c r="CR60"/>
      <c r="CS60" s="83">
        <f t="shared" si="50"/>
        <v>0</v>
      </c>
      <c r="CT60" s="83">
        <f t="shared" si="51"/>
        <v>0</v>
      </c>
      <c r="CU60" s="83">
        <f t="shared" si="52"/>
        <v>0</v>
      </c>
      <c r="CV60" s="117">
        <v>0</v>
      </c>
      <c r="CW60" s="117">
        <v>0</v>
      </c>
      <c r="CX60" s="117">
        <v>0</v>
      </c>
      <c r="CY60" s="117">
        <v>0</v>
      </c>
      <c r="CZ60"/>
      <c r="DA60"/>
      <c r="DB60"/>
      <c r="DC60"/>
      <c r="DD60"/>
      <c r="DE60"/>
    </row>
    <row r="61" spans="1:109" s="49" customFormat="1" ht="21" x14ac:dyDescent="0.25">
      <c r="A61" s="195"/>
      <c r="B61" s="149"/>
      <c r="C61" s="3" t="s">
        <v>12</v>
      </c>
      <c r="D61" s="147"/>
      <c r="E61" s="147"/>
      <c r="F61" s="141"/>
      <c r="G61" s="145"/>
      <c r="H61" s="143"/>
      <c r="I61" s="143"/>
      <c r="J61" s="141"/>
      <c r="K61" s="141"/>
      <c r="L61" s="141"/>
      <c r="M61" s="141"/>
      <c r="N61" s="145"/>
      <c r="O61" s="143"/>
      <c r="P61" s="143"/>
      <c r="Q61" s="141"/>
      <c r="R61" s="141"/>
      <c r="S61" s="141"/>
      <c r="T61" s="159"/>
      <c r="U61" s="145"/>
      <c r="V61" s="143"/>
      <c r="W61" s="143"/>
      <c r="X61" s="141"/>
      <c r="Y61" s="141"/>
      <c r="Z61" s="145"/>
      <c r="AA61" s="145"/>
      <c r="AB61" s="141"/>
      <c r="AC61" s="143"/>
      <c r="AD61" s="143"/>
      <c r="AE61" s="143"/>
      <c r="AF61" s="143"/>
      <c r="AG61" s="141"/>
      <c r="AH61" s="157"/>
      <c r="AI61" s="155"/>
      <c r="AJ61" s="11"/>
      <c r="AK61" s="7"/>
      <c r="AL61" s="7"/>
      <c r="AM61" s="11"/>
      <c r="AN61" s="59"/>
      <c r="AO61" s="5"/>
      <c r="AP61" s="78"/>
      <c r="AQ61" s="135"/>
      <c r="AR61" s="5"/>
      <c r="AS61" s="120"/>
      <c r="AT61" s="120"/>
      <c r="AU61" s="120"/>
      <c r="AV61" s="120"/>
      <c r="AW61" s="120"/>
      <c r="AX61" s="120"/>
      <c r="AY61" s="120"/>
      <c r="AZ61" s="120"/>
      <c r="BA61" s="120"/>
      <c r="BB61" s="120"/>
      <c r="BC61" s="120"/>
      <c r="BD61" s="120"/>
      <c r="BE61" s="120"/>
      <c r="BF61" s="120"/>
      <c r="BG61" s="120"/>
      <c r="BH61" s="120"/>
      <c r="BI61" s="120"/>
      <c r="BJ61" s="120"/>
      <c r="BK61" s="120"/>
      <c r="BL61" s="120"/>
      <c r="BM61" s="120"/>
      <c r="BN61" s="120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 s="83">
        <f t="shared" si="34"/>
        <v>0</v>
      </c>
      <c r="CE61" s="66">
        <f t="shared" si="35"/>
        <v>0</v>
      </c>
      <c r="CF61" s="83">
        <f t="shared" si="36"/>
        <v>0</v>
      </c>
      <c r="CG61" s="65">
        <f t="shared" si="37"/>
        <v>0</v>
      </c>
      <c r="CH61" s="83">
        <f t="shared" si="38"/>
        <v>0</v>
      </c>
      <c r="CI61" s="65">
        <f t="shared" si="39"/>
        <v>0</v>
      </c>
      <c r="CJ61" s="83">
        <f t="shared" si="40"/>
        <v>0</v>
      </c>
      <c r="CK61" s="65">
        <f t="shared" si="41"/>
        <v>0</v>
      </c>
      <c r="CL61" s="83">
        <f t="shared" si="42"/>
        <v>0</v>
      </c>
      <c r="CM61" s="83">
        <f t="shared" si="43"/>
        <v>0</v>
      </c>
      <c r="CN61" s="117">
        <f t="shared" si="44"/>
        <v>0</v>
      </c>
      <c r="CO61" s="117">
        <f t="shared" si="45"/>
        <v>0</v>
      </c>
      <c r="CP61" s="117">
        <f t="shared" si="46"/>
        <v>0</v>
      </c>
      <c r="CQ61" s="117">
        <f t="shared" si="47"/>
        <v>0</v>
      </c>
      <c r="CR61"/>
      <c r="CS61" s="83">
        <f t="shared" si="50"/>
        <v>0</v>
      </c>
      <c r="CT61" s="83">
        <f t="shared" si="51"/>
        <v>0</v>
      </c>
      <c r="CU61" s="83">
        <f t="shared" si="52"/>
        <v>0</v>
      </c>
      <c r="CV61" s="117">
        <v>0</v>
      </c>
      <c r="CW61" s="117">
        <v>0</v>
      </c>
      <c r="CX61" s="117">
        <v>0</v>
      </c>
      <c r="CY61" s="117">
        <v>0</v>
      </c>
      <c r="CZ61"/>
      <c r="DA61"/>
      <c r="DB61"/>
      <c r="DC61"/>
      <c r="DD61"/>
      <c r="DE61"/>
    </row>
    <row r="62" spans="1:109" s="49" customFormat="1" ht="22" thickBot="1" x14ac:dyDescent="0.3">
      <c r="A62" s="196"/>
      <c r="B62" s="150"/>
      <c r="C62" s="92" t="s">
        <v>4</v>
      </c>
      <c r="D62" s="88"/>
      <c r="E62" s="88"/>
      <c r="F62" s="88"/>
      <c r="G62" s="89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90"/>
      <c r="AI62" s="36"/>
      <c r="AJ62" s="34"/>
      <c r="AK62" s="7"/>
      <c r="AL62" s="7"/>
      <c r="AM62" s="34"/>
      <c r="AN62" s="59"/>
      <c r="AO62" s="5"/>
      <c r="AP62" s="78"/>
      <c r="AQ62" s="135"/>
      <c r="AR62" s="5"/>
      <c r="AS62" s="120"/>
      <c r="AT62" s="120"/>
      <c r="AU62" s="120"/>
      <c r="AV62" s="120"/>
      <c r="AW62" s="120"/>
      <c r="AX62" s="120"/>
      <c r="AY62" s="120"/>
      <c r="AZ62" s="120"/>
      <c r="BA62" s="120"/>
      <c r="BB62" s="120"/>
      <c r="BC62" s="120"/>
      <c r="BD62" s="120"/>
      <c r="BE62" s="120"/>
      <c r="BF62" s="120"/>
      <c r="BG62" s="120"/>
      <c r="BH62" s="120"/>
      <c r="BI62" s="120"/>
      <c r="BJ62" s="120"/>
      <c r="BK62" s="120"/>
      <c r="BL62" s="120"/>
      <c r="BM62" s="120"/>
      <c r="BN62" s="120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 s="83">
        <f t="shared" si="34"/>
        <v>0</v>
      </c>
      <c r="CE62" s="66">
        <f t="shared" si="35"/>
        <v>0</v>
      </c>
      <c r="CF62" s="83">
        <f t="shared" si="36"/>
        <v>0</v>
      </c>
      <c r="CG62" s="65">
        <f t="shared" si="37"/>
        <v>0</v>
      </c>
      <c r="CH62" s="83">
        <f t="shared" si="38"/>
        <v>0</v>
      </c>
      <c r="CI62" s="65">
        <f t="shared" si="39"/>
        <v>0</v>
      </c>
      <c r="CJ62" s="83">
        <f t="shared" si="40"/>
        <v>0</v>
      </c>
      <c r="CK62" s="65">
        <f t="shared" si="41"/>
        <v>0</v>
      </c>
      <c r="CL62" s="83">
        <f t="shared" si="42"/>
        <v>0</v>
      </c>
      <c r="CM62" s="83">
        <f t="shared" si="43"/>
        <v>0</v>
      </c>
      <c r="CN62" s="117">
        <f t="shared" si="44"/>
        <v>0</v>
      </c>
      <c r="CO62" s="117">
        <f t="shared" si="45"/>
        <v>0</v>
      </c>
      <c r="CP62" s="117">
        <f t="shared" si="46"/>
        <v>0</v>
      </c>
      <c r="CQ62" s="117">
        <f t="shared" si="47"/>
        <v>0</v>
      </c>
      <c r="CR62"/>
      <c r="CS62" s="83">
        <f t="shared" si="50"/>
        <v>0</v>
      </c>
      <c r="CT62" s="83">
        <f t="shared" si="51"/>
        <v>0</v>
      </c>
      <c r="CU62" s="83">
        <f t="shared" si="52"/>
        <v>0</v>
      </c>
      <c r="CV62" s="117">
        <v>0</v>
      </c>
      <c r="CW62" s="117">
        <v>0</v>
      </c>
      <c r="CX62" s="117">
        <v>0</v>
      </c>
      <c r="CY62" s="117">
        <v>0</v>
      </c>
      <c r="CZ62"/>
      <c r="DA62"/>
      <c r="DB62"/>
      <c r="DC62"/>
      <c r="DD62"/>
      <c r="DE62"/>
    </row>
    <row r="63" spans="1:109" s="49" customFormat="1" ht="19" customHeight="1" thickTop="1" x14ac:dyDescent="0.25">
      <c r="A63" s="194">
        <v>19</v>
      </c>
      <c r="B63" s="148"/>
      <c r="C63" s="91" t="s">
        <v>11</v>
      </c>
      <c r="D63" s="146"/>
      <c r="E63" s="146"/>
      <c r="F63" s="140"/>
      <c r="G63" s="144"/>
      <c r="H63" s="142"/>
      <c r="I63" s="142"/>
      <c r="J63" s="140"/>
      <c r="K63" s="140"/>
      <c r="L63" s="140"/>
      <c r="M63" s="140"/>
      <c r="N63" s="144"/>
      <c r="O63" s="142"/>
      <c r="P63" s="142"/>
      <c r="Q63" s="140"/>
      <c r="R63" s="140"/>
      <c r="S63" s="140"/>
      <c r="T63" s="158"/>
      <c r="U63" s="144"/>
      <c r="V63" s="142"/>
      <c r="W63" s="142"/>
      <c r="X63" s="140"/>
      <c r="Y63" s="140"/>
      <c r="Z63" s="144"/>
      <c r="AA63" s="144"/>
      <c r="AB63" s="140"/>
      <c r="AC63" s="142"/>
      <c r="AD63" s="142"/>
      <c r="AE63" s="142"/>
      <c r="AF63" s="142"/>
      <c r="AG63" s="140"/>
      <c r="AH63" s="156"/>
      <c r="AI63" s="154">
        <f t="shared" ref="AI63" si="67">SUM(D63:AH63)</f>
        <v>0</v>
      </c>
      <c r="AJ63" s="86">
        <f>SUMIF(D65:AH65, "LL", D63:AH63) + SUMIF(D65:AH65, "LL", D64:AH64)</f>
        <v>0</v>
      </c>
      <c r="AK63" s="7"/>
      <c r="AL63" s="7"/>
      <c r="AM63" s="99">
        <f t="shared" ref="AM63" si="68">SUMIF(D65:AH65, "CO", D63:AH63) + SUMIF(D65:AH65, "CO", D64:AH64)</f>
        <v>0</v>
      </c>
      <c r="AN63" s="59">
        <f t="shared" ref="AN63" si="69">SUM(AI63:AM63)</f>
        <v>0</v>
      </c>
      <c r="AO63" s="5"/>
      <c r="AP63" s="73"/>
      <c r="AQ63" s="135"/>
      <c r="AR63" s="5"/>
      <c r="AS63" s="120"/>
      <c r="AT63" s="120"/>
      <c r="AU63" s="120"/>
      <c r="AV63" s="120"/>
      <c r="AW63" s="120"/>
      <c r="AX63" s="120"/>
      <c r="AY63" s="120"/>
      <c r="AZ63" s="120"/>
      <c r="BA63" s="120"/>
      <c r="BB63" s="120"/>
      <c r="BC63" s="120"/>
      <c r="BD63" s="120"/>
      <c r="BE63" s="120"/>
      <c r="BF63" s="120"/>
      <c r="BG63" s="120"/>
      <c r="BH63" s="120"/>
      <c r="BI63" s="120"/>
      <c r="BJ63" s="120"/>
      <c r="BK63" s="120"/>
      <c r="BL63" s="120"/>
      <c r="BM63" s="120"/>
      <c r="BN63" s="120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 s="83">
        <f t="shared" si="34"/>
        <v>0</v>
      </c>
      <c r="CE63" s="66">
        <f t="shared" si="35"/>
        <v>0</v>
      </c>
      <c r="CF63" s="83">
        <f t="shared" si="36"/>
        <v>0</v>
      </c>
      <c r="CG63" s="65">
        <f t="shared" si="37"/>
        <v>0</v>
      </c>
      <c r="CH63" s="83">
        <f t="shared" si="38"/>
        <v>0</v>
      </c>
      <c r="CI63" s="65">
        <f t="shared" si="39"/>
        <v>0</v>
      </c>
      <c r="CJ63" s="83">
        <f t="shared" si="40"/>
        <v>0</v>
      </c>
      <c r="CK63" s="65">
        <f t="shared" si="41"/>
        <v>0</v>
      </c>
      <c r="CL63" s="83">
        <f t="shared" si="42"/>
        <v>0</v>
      </c>
      <c r="CM63" s="83">
        <f t="shared" si="43"/>
        <v>0</v>
      </c>
      <c r="CN63" s="117">
        <f t="shared" si="44"/>
        <v>0</v>
      </c>
      <c r="CO63" s="117">
        <f t="shared" si="45"/>
        <v>0</v>
      </c>
      <c r="CP63" s="117">
        <f t="shared" si="46"/>
        <v>0</v>
      </c>
      <c r="CQ63" s="117">
        <f t="shared" si="47"/>
        <v>0</v>
      </c>
      <c r="CR63"/>
      <c r="CS63" s="83">
        <f t="shared" si="50"/>
        <v>0</v>
      </c>
      <c r="CT63" s="83">
        <f t="shared" si="51"/>
        <v>0</v>
      </c>
      <c r="CU63" s="83">
        <f t="shared" si="52"/>
        <v>0</v>
      </c>
      <c r="CV63" s="117">
        <v>0</v>
      </c>
      <c r="CW63" s="117">
        <v>0</v>
      </c>
      <c r="CX63" s="117">
        <v>0</v>
      </c>
      <c r="CY63" s="117">
        <v>0</v>
      </c>
      <c r="CZ63"/>
      <c r="DA63"/>
      <c r="DB63"/>
      <c r="DC63"/>
      <c r="DD63"/>
      <c r="DE63"/>
    </row>
    <row r="64" spans="1:109" s="49" customFormat="1" ht="21" x14ac:dyDescent="0.25">
      <c r="A64" s="195"/>
      <c r="B64" s="149"/>
      <c r="C64" s="3" t="s">
        <v>12</v>
      </c>
      <c r="D64" s="147"/>
      <c r="E64" s="147"/>
      <c r="F64" s="141"/>
      <c r="G64" s="145"/>
      <c r="H64" s="143"/>
      <c r="I64" s="143"/>
      <c r="J64" s="141"/>
      <c r="K64" s="141"/>
      <c r="L64" s="141"/>
      <c r="M64" s="141"/>
      <c r="N64" s="145"/>
      <c r="O64" s="143"/>
      <c r="P64" s="143"/>
      <c r="Q64" s="141"/>
      <c r="R64" s="141"/>
      <c r="S64" s="141"/>
      <c r="T64" s="159"/>
      <c r="U64" s="145"/>
      <c r="V64" s="143"/>
      <c r="W64" s="143"/>
      <c r="X64" s="141"/>
      <c r="Y64" s="141"/>
      <c r="Z64" s="145"/>
      <c r="AA64" s="145"/>
      <c r="AB64" s="141"/>
      <c r="AC64" s="143"/>
      <c r="AD64" s="143"/>
      <c r="AE64" s="143"/>
      <c r="AF64" s="143"/>
      <c r="AG64" s="141"/>
      <c r="AH64" s="157"/>
      <c r="AI64" s="155"/>
      <c r="AJ64" s="11"/>
      <c r="AK64" s="7"/>
      <c r="AL64" s="7"/>
      <c r="AM64" s="11"/>
      <c r="AN64" s="59"/>
      <c r="AO64" s="5"/>
      <c r="AP64" s="78"/>
      <c r="AQ64" s="135"/>
      <c r="AR64" s="5"/>
      <c r="AS64" s="120"/>
      <c r="AT64" s="120"/>
      <c r="AU64" s="120"/>
      <c r="AV64" s="120"/>
      <c r="AW64" s="120"/>
      <c r="AX64" s="120"/>
      <c r="AY64" s="120"/>
      <c r="AZ64" s="120"/>
      <c r="BA64" s="120"/>
      <c r="BB64" s="120"/>
      <c r="BC64" s="120"/>
      <c r="BD64" s="120"/>
      <c r="BE64" s="120"/>
      <c r="BF64" s="120"/>
      <c r="BG64" s="120"/>
      <c r="BH64" s="120"/>
      <c r="BI64" s="120"/>
      <c r="BJ64" s="120"/>
      <c r="BK64" s="120"/>
      <c r="BL64" s="120"/>
      <c r="BM64" s="120"/>
      <c r="BN64" s="120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 s="83">
        <f t="shared" si="34"/>
        <v>0</v>
      </c>
      <c r="CE64" s="66">
        <f t="shared" si="35"/>
        <v>0</v>
      </c>
      <c r="CF64" s="83">
        <f t="shared" si="36"/>
        <v>0</v>
      </c>
      <c r="CG64" s="65">
        <f t="shared" si="37"/>
        <v>0</v>
      </c>
      <c r="CH64" s="83">
        <f t="shared" si="38"/>
        <v>0</v>
      </c>
      <c r="CI64" s="65">
        <f t="shared" si="39"/>
        <v>0</v>
      </c>
      <c r="CJ64" s="83">
        <f t="shared" si="40"/>
        <v>0</v>
      </c>
      <c r="CK64" s="65">
        <f t="shared" si="41"/>
        <v>0</v>
      </c>
      <c r="CL64" s="83">
        <f t="shared" si="42"/>
        <v>0</v>
      </c>
      <c r="CM64" s="83">
        <f t="shared" si="43"/>
        <v>0</v>
      </c>
      <c r="CN64" s="117">
        <f t="shared" si="44"/>
        <v>0</v>
      </c>
      <c r="CO64" s="117">
        <f t="shared" si="45"/>
        <v>0</v>
      </c>
      <c r="CP64" s="117">
        <f t="shared" si="46"/>
        <v>0</v>
      </c>
      <c r="CQ64" s="117">
        <f t="shared" si="47"/>
        <v>0</v>
      </c>
      <c r="CR64"/>
      <c r="CS64" s="83">
        <f t="shared" si="50"/>
        <v>0</v>
      </c>
      <c r="CT64" s="83">
        <f t="shared" si="51"/>
        <v>0</v>
      </c>
      <c r="CU64" s="83">
        <f t="shared" si="52"/>
        <v>0</v>
      </c>
      <c r="CV64" s="117">
        <v>0</v>
      </c>
      <c r="CW64" s="117">
        <v>0</v>
      </c>
      <c r="CX64" s="117">
        <v>0</v>
      </c>
      <c r="CY64" s="117">
        <v>0</v>
      </c>
      <c r="CZ64"/>
      <c r="DA64"/>
      <c r="DB64"/>
      <c r="DC64"/>
      <c r="DD64"/>
      <c r="DE64"/>
    </row>
    <row r="65" spans="1:109" s="49" customFormat="1" ht="22" thickBot="1" x14ac:dyDescent="0.3">
      <c r="A65" s="196"/>
      <c r="B65" s="150"/>
      <c r="C65" s="92" t="s">
        <v>4</v>
      </c>
      <c r="D65" s="88"/>
      <c r="E65" s="88"/>
      <c r="F65" s="88"/>
      <c r="G65" s="89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90"/>
      <c r="AI65" s="36"/>
      <c r="AJ65" s="34"/>
      <c r="AK65" s="7"/>
      <c r="AL65" s="7"/>
      <c r="AM65" s="34"/>
      <c r="AN65" s="59"/>
      <c r="AO65" s="5"/>
      <c r="AP65" s="78"/>
      <c r="AQ65" s="135"/>
      <c r="AR65" s="5"/>
      <c r="AS65" s="120"/>
      <c r="AT65" s="120"/>
      <c r="AU65" s="120"/>
      <c r="AV65" s="120"/>
      <c r="AW65" s="120"/>
      <c r="AX65" s="120"/>
      <c r="AY65" s="120"/>
      <c r="AZ65" s="120"/>
      <c r="BA65" s="120"/>
      <c r="BB65" s="120"/>
      <c r="BC65" s="120"/>
      <c r="BD65" s="120"/>
      <c r="BE65" s="120"/>
      <c r="BF65" s="120"/>
      <c r="BG65" s="120"/>
      <c r="BH65" s="120"/>
      <c r="BI65" s="120"/>
      <c r="BJ65" s="120"/>
      <c r="BK65" s="120"/>
      <c r="BL65" s="120"/>
      <c r="BM65" s="120"/>
      <c r="BN65" s="120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 s="83">
        <f t="shared" si="34"/>
        <v>0</v>
      </c>
      <c r="CE65" s="66">
        <f t="shared" si="35"/>
        <v>0</v>
      </c>
      <c r="CF65" s="83">
        <f t="shared" si="36"/>
        <v>0</v>
      </c>
      <c r="CG65" s="65">
        <f t="shared" si="37"/>
        <v>0</v>
      </c>
      <c r="CH65" s="83">
        <f t="shared" si="38"/>
        <v>0</v>
      </c>
      <c r="CI65" s="65">
        <f t="shared" si="39"/>
        <v>0</v>
      </c>
      <c r="CJ65" s="83">
        <f t="shared" si="40"/>
        <v>0</v>
      </c>
      <c r="CK65" s="65">
        <f t="shared" si="41"/>
        <v>0</v>
      </c>
      <c r="CL65" s="83">
        <f t="shared" si="42"/>
        <v>0</v>
      </c>
      <c r="CM65" s="83">
        <f t="shared" si="43"/>
        <v>0</v>
      </c>
      <c r="CN65" s="117">
        <f t="shared" si="44"/>
        <v>0</v>
      </c>
      <c r="CO65" s="117">
        <f t="shared" si="45"/>
        <v>0</v>
      </c>
      <c r="CP65" s="117">
        <f t="shared" si="46"/>
        <v>0</v>
      </c>
      <c r="CQ65" s="117">
        <f t="shared" si="47"/>
        <v>0</v>
      </c>
      <c r="CR65"/>
      <c r="CS65" s="83">
        <f t="shared" si="50"/>
        <v>0</v>
      </c>
      <c r="CT65" s="83">
        <f t="shared" si="51"/>
        <v>0</v>
      </c>
      <c r="CU65" s="83">
        <f t="shared" si="52"/>
        <v>0</v>
      </c>
      <c r="CV65" s="117">
        <v>0</v>
      </c>
      <c r="CW65" s="117">
        <v>0</v>
      </c>
      <c r="CX65" s="117">
        <v>0</v>
      </c>
      <c r="CY65" s="117">
        <v>0</v>
      </c>
      <c r="CZ65"/>
      <c r="DA65"/>
      <c r="DB65"/>
      <c r="DC65"/>
      <c r="DD65"/>
      <c r="DE65"/>
    </row>
    <row r="66" spans="1:109" s="49" customFormat="1" ht="19" customHeight="1" thickTop="1" x14ac:dyDescent="0.25">
      <c r="A66" s="194">
        <v>20</v>
      </c>
      <c r="B66" s="148"/>
      <c r="C66" s="91" t="s">
        <v>11</v>
      </c>
      <c r="D66" s="146"/>
      <c r="E66" s="146"/>
      <c r="F66" s="140"/>
      <c r="G66" s="144"/>
      <c r="H66" s="142"/>
      <c r="I66" s="142"/>
      <c r="J66" s="140"/>
      <c r="K66" s="140"/>
      <c r="L66" s="140"/>
      <c r="M66" s="140"/>
      <c r="N66" s="144"/>
      <c r="O66" s="142"/>
      <c r="P66" s="142"/>
      <c r="Q66" s="140"/>
      <c r="R66" s="140"/>
      <c r="S66" s="140"/>
      <c r="T66" s="158"/>
      <c r="U66" s="144"/>
      <c r="V66" s="142"/>
      <c r="W66" s="142"/>
      <c r="X66" s="140"/>
      <c r="Y66" s="140"/>
      <c r="Z66" s="144"/>
      <c r="AA66" s="144"/>
      <c r="AB66" s="140"/>
      <c r="AC66" s="142"/>
      <c r="AD66" s="142"/>
      <c r="AE66" s="142"/>
      <c r="AF66" s="142"/>
      <c r="AG66" s="140"/>
      <c r="AH66" s="156"/>
      <c r="AI66" s="154">
        <f t="shared" ref="AI66" si="70">SUM(D66:AH66)</f>
        <v>0</v>
      </c>
      <c r="AJ66" s="87">
        <f>SUMIF(D68:AH68, "LL", D66:AH66) + SUMIF(D68:AH68, "LL", D67:AH67)</f>
        <v>0</v>
      </c>
      <c r="AK66" s="7"/>
      <c r="AL66" s="7"/>
      <c r="AM66" s="100">
        <f t="shared" ref="AM66" si="71">SUMIF(D68:AH68, "CO", D66:AH66) + SUMIF(D68:AH68, "CO", D67:AH67)</f>
        <v>0</v>
      </c>
      <c r="AN66" s="59">
        <f t="shared" ref="AN66" si="72">SUM(AI66:AM66)</f>
        <v>0</v>
      </c>
      <c r="AO66" s="5"/>
      <c r="AP66" s="73"/>
      <c r="AQ66" s="135"/>
      <c r="AR66" s="5"/>
      <c r="AS66" s="120"/>
      <c r="AT66" s="120"/>
      <c r="AU66" s="120"/>
      <c r="AV66" s="120"/>
      <c r="AW66" s="120"/>
      <c r="AX66" s="120"/>
      <c r="AY66" s="120"/>
      <c r="AZ66" s="120"/>
      <c r="BA66" s="120"/>
      <c r="BB66" s="120"/>
      <c r="BC66" s="120"/>
      <c r="BD66" s="120"/>
      <c r="BE66" s="120"/>
      <c r="BF66" s="120"/>
      <c r="BG66" s="120"/>
      <c r="BH66" s="120"/>
      <c r="BI66" s="120"/>
      <c r="BJ66" s="120"/>
      <c r="BK66" s="120"/>
      <c r="BL66" s="120"/>
      <c r="BM66" s="120"/>
      <c r="BN66" s="120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 s="83">
        <f t="shared" si="34"/>
        <v>0</v>
      </c>
      <c r="CE66" s="66">
        <f t="shared" si="35"/>
        <v>0</v>
      </c>
      <c r="CF66" s="83">
        <f t="shared" si="36"/>
        <v>0</v>
      </c>
      <c r="CG66" s="65">
        <f t="shared" si="37"/>
        <v>0</v>
      </c>
      <c r="CH66" s="83">
        <f t="shared" si="38"/>
        <v>0</v>
      </c>
      <c r="CI66" s="65">
        <f t="shared" si="39"/>
        <v>0</v>
      </c>
      <c r="CJ66" s="83">
        <f t="shared" si="40"/>
        <v>0</v>
      </c>
      <c r="CK66" s="65">
        <f t="shared" si="41"/>
        <v>0</v>
      </c>
      <c r="CL66" s="83">
        <f t="shared" si="42"/>
        <v>0</v>
      </c>
      <c r="CM66" s="83">
        <f t="shared" si="43"/>
        <v>0</v>
      </c>
      <c r="CN66" s="117">
        <f t="shared" si="44"/>
        <v>0</v>
      </c>
      <c r="CO66" s="117">
        <f t="shared" si="45"/>
        <v>0</v>
      </c>
      <c r="CP66" s="117">
        <f t="shared" si="46"/>
        <v>0</v>
      </c>
      <c r="CQ66" s="117">
        <f t="shared" si="47"/>
        <v>0</v>
      </c>
      <c r="CR66"/>
      <c r="CS66" s="83">
        <f t="shared" si="50"/>
        <v>0</v>
      </c>
      <c r="CT66" s="83">
        <f t="shared" si="51"/>
        <v>0</v>
      </c>
      <c r="CU66" s="83">
        <f t="shared" si="52"/>
        <v>0</v>
      </c>
      <c r="CV66" s="117">
        <v>0</v>
      </c>
      <c r="CW66" s="117">
        <v>0</v>
      </c>
      <c r="CX66" s="117">
        <v>0</v>
      </c>
      <c r="CY66" s="117">
        <v>0</v>
      </c>
      <c r="CZ66"/>
      <c r="DA66"/>
      <c r="DB66"/>
      <c r="DC66"/>
      <c r="DD66"/>
      <c r="DE66"/>
    </row>
    <row r="67" spans="1:109" s="49" customFormat="1" ht="21" x14ac:dyDescent="0.25">
      <c r="A67" s="195"/>
      <c r="B67" s="149"/>
      <c r="C67" s="3" t="s">
        <v>12</v>
      </c>
      <c r="D67" s="147"/>
      <c r="E67" s="147"/>
      <c r="F67" s="141"/>
      <c r="G67" s="145"/>
      <c r="H67" s="143"/>
      <c r="I67" s="143"/>
      <c r="J67" s="141"/>
      <c r="K67" s="141"/>
      <c r="L67" s="141"/>
      <c r="M67" s="141"/>
      <c r="N67" s="145"/>
      <c r="O67" s="143"/>
      <c r="P67" s="143"/>
      <c r="Q67" s="141"/>
      <c r="R67" s="141"/>
      <c r="S67" s="141"/>
      <c r="T67" s="159"/>
      <c r="U67" s="145"/>
      <c r="V67" s="143"/>
      <c r="W67" s="143"/>
      <c r="X67" s="141"/>
      <c r="Y67" s="141"/>
      <c r="Z67" s="145"/>
      <c r="AA67" s="145"/>
      <c r="AB67" s="141"/>
      <c r="AC67" s="143"/>
      <c r="AD67" s="143"/>
      <c r="AE67" s="143"/>
      <c r="AF67" s="143"/>
      <c r="AG67" s="141"/>
      <c r="AH67" s="157"/>
      <c r="AI67" s="155"/>
      <c r="AJ67" s="11"/>
      <c r="AK67" s="7"/>
      <c r="AL67" s="7"/>
      <c r="AM67" s="11"/>
      <c r="AN67" s="59"/>
      <c r="AO67" s="5"/>
      <c r="AP67" s="78"/>
      <c r="AQ67" s="135"/>
      <c r="AR67" s="5"/>
      <c r="AS67" s="120"/>
      <c r="AT67" s="120"/>
      <c r="AU67" s="120"/>
      <c r="AV67" s="120"/>
      <c r="AW67" s="120"/>
      <c r="AX67" s="120"/>
      <c r="AY67" s="120"/>
      <c r="AZ67" s="120"/>
      <c r="BA67" s="120"/>
      <c r="BB67" s="120"/>
      <c r="BC67" s="120"/>
      <c r="BD67" s="120"/>
      <c r="BE67" s="120"/>
      <c r="BF67" s="120"/>
      <c r="BG67" s="120"/>
      <c r="BH67" s="120"/>
      <c r="BI67" s="120"/>
      <c r="BJ67" s="120"/>
      <c r="BK67" s="120"/>
      <c r="BL67" s="120"/>
      <c r="BM67" s="120"/>
      <c r="BN67" s="120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 s="83">
        <f t="shared" si="34"/>
        <v>0</v>
      </c>
      <c r="CE67" s="66">
        <f t="shared" si="35"/>
        <v>0</v>
      </c>
      <c r="CF67" s="83">
        <f t="shared" si="36"/>
        <v>0</v>
      </c>
      <c r="CG67" s="65">
        <f t="shared" si="37"/>
        <v>0</v>
      </c>
      <c r="CH67" s="83">
        <f t="shared" si="38"/>
        <v>0</v>
      </c>
      <c r="CI67" s="65">
        <f t="shared" si="39"/>
        <v>0</v>
      </c>
      <c r="CJ67" s="83">
        <f t="shared" si="40"/>
        <v>0</v>
      </c>
      <c r="CK67" s="65">
        <f t="shared" si="41"/>
        <v>0</v>
      </c>
      <c r="CL67" s="83">
        <f t="shared" si="42"/>
        <v>0</v>
      </c>
      <c r="CM67" s="83">
        <f t="shared" si="43"/>
        <v>0</v>
      </c>
      <c r="CN67" s="117">
        <f t="shared" si="44"/>
        <v>0</v>
      </c>
      <c r="CO67" s="117">
        <f t="shared" si="45"/>
        <v>0</v>
      </c>
      <c r="CP67" s="117">
        <f t="shared" si="46"/>
        <v>0</v>
      </c>
      <c r="CQ67" s="117">
        <f t="shared" si="47"/>
        <v>0</v>
      </c>
      <c r="CR67"/>
      <c r="CS67" s="83">
        <f t="shared" si="50"/>
        <v>0</v>
      </c>
      <c r="CT67" s="83">
        <f t="shared" si="51"/>
        <v>0</v>
      </c>
      <c r="CU67" s="83">
        <f t="shared" si="52"/>
        <v>0</v>
      </c>
      <c r="CV67" s="117">
        <v>0</v>
      </c>
      <c r="CW67" s="117">
        <v>0</v>
      </c>
      <c r="CX67" s="117">
        <v>0</v>
      </c>
      <c r="CY67" s="117">
        <v>0</v>
      </c>
      <c r="CZ67"/>
      <c r="DA67"/>
      <c r="DB67"/>
      <c r="DC67"/>
      <c r="DD67"/>
      <c r="DE67"/>
    </row>
    <row r="68" spans="1:109" s="49" customFormat="1" ht="22" thickBot="1" x14ac:dyDescent="0.3">
      <c r="A68" s="196"/>
      <c r="B68" s="150"/>
      <c r="C68" s="92" t="s">
        <v>4</v>
      </c>
      <c r="D68" s="88"/>
      <c r="E68" s="88"/>
      <c r="F68" s="88"/>
      <c r="G68" s="89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90"/>
      <c r="AI68" s="36"/>
      <c r="AJ68" s="34"/>
      <c r="AK68" s="7"/>
      <c r="AL68" s="7"/>
      <c r="AM68" s="34"/>
      <c r="AN68" s="59"/>
      <c r="AO68" s="5"/>
      <c r="AP68" s="78"/>
      <c r="AQ68" s="135"/>
      <c r="AR68" s="5"/>
      <c r="AS68" s="120"/>
      <c r="AT68" s="120"/>
      <c r="AU68" s="120"/>
      <c r="AV68" s="120"/>
      <c r="AW68" s="120"/>
      <c r="AX68" s="120"/>
      <c r="AY68" s="120"/>
      <c r="AZ68" s="120"/>
      <c r="BA68" s="120"/>
      <c r="BB68" s="120"/>
      <c r="BC68" s="120"/>
      <c r="BD68" s="120"/>
      <c r="BE68" s="120"/>
      <c r="BF68" s="120"/>
      <c r="BG68" s="120"/>
      <c r="BH68" s="120"/>
      <c r="BI68" s="120"/>
      <c r="BJ68" s="120"/>
      <c r="BK68" s="120"/>
      <c r="BL68" s="120"/>
      <c r="BM68" s="120"/>
      <c r="BN68" s="120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 s="83">
        <f t="shared" si="34"/>
        <v>0</v>
      </c>
      <c r="CE68" s="66">
        <f t="shared" si="35"/>
        <v>0</v>
      </c>
      <c r="CF68" s="83">
        <f t="shared" si="36"/>
        <v>0</v>
      </c>
      <c r="CG68" s="65">
        <f t="shared" si="37"/>
        <v>0</v>
      </c>
      <c r="CH68" s="83">
        <f t="shared" si="38"/>
        <v>0</v>
      </c>
      <c r="CI68" s="65">
        <f t="shared" si="39"/>
        <v>0</v>
      </c>
      <c r="CJ68" s="83">
        <f t="shared" si="40"/>
        <v>0</v>
      </c>
      <c r="CK68" s="65">
        <f t="shared" si="41"/>
        <v>0</v>
      </c>
      <c r="CL68" s="83">
        <f t="shared" si="42"/>
        <v>0</v>
      </c>
      <c r="CM68" s="83">
        <f t="shared" si="43"/>
        <v>0</v>
      </c>
      <c r="CN68" s="117">
        <f t="shared" si="44"/>
        <v>0</v>
      </c>
      <c r="CO68" s="117">
        <f t="shared" si="45"/>
        <v>0</v>
      </c>
      <c r="CP68" s="117">
        <f t="shared" si="46"/>
        <v>0</v>
      </c>
      <c r="CQ68" s="117">
        <f t="shared" si="47"/>
        <v>0</v>
      </c>
      <c r="CR68"/>
      <c r="CS68" s="83">
        <f t="shared" si="50"/>
        <v>0</v>
      </c>
      <c r="CT68" s="83">
        <f t="shared" si="51"/>
        <v>0</v>
      </c>
      <c r="CU68" s="83">
        <f t="shared" si="52"/>
        <v>0</v>
      </c>
      <c r="CV68" s="117">
        <v>0</v>
      </c>
      <c r="CW68" s="117">
        <v>0</v>
      </c>
      <c r="CX68" s="117">
        <v>0</v>
      </c>
      <c r="CY68" s="117">
        <v>0</v>
      </c>
      <c r="CZ68"/>
      <c r="DA68"/>
      <c r="DB68"/>
      <c r="DC68"/>
      <c r="DD68"/>
      <c r="DE68"/>
    </row>
    <row r="69" spans="1:109" s="2" customFormat="1" ht="21" thickTop="1" thickBot="1" x14ac:dyDescent="0.3">
      <c r="A69" s="202">
        <v>21</v>
      </c>
      <c r="B69" s="148"/>
      <c r="C69" s="91" t="s">
        <v>11</v>
      </c>
      <c r="D69" s="166"/>
      <c r="E69" s="166"/>
      <c r="F69" s="160"/>
      <c r="G69" s="164"/>
      <c r="H69" s="162"/>
      <c r="I69" s="162"/>
      <c r="J69" s="160"/>
      <c r="K69" s="160"/>
      <c r="L69" s="160"/>
      <c r="M69" s="160"/>
      <c r="N69" s="164"/>
      <c r="O69" s="162"/>
      <c r="P69" s="162"/>
      <c r="Q69" s="160"/>
      <c r="R69" s="160"/>
      <c r="S69" s="160"/>
      <c r="T69" s="172"/>
      <c r="U69" s="164"/>
      <c r="V69" s="162"/>
      <c r="W69" s="162"/>
      <c r="X69" s="160"/>
      <c r="Y69" s="160"/>
      <c r="Z69" s="164"/>
      <c r="AA69" s="164"/>
      <c r="AB69" s="160"/>
      <c r="AC69" s="162"/>
      <c r="AD69" s="162"/>
      <c r="AE69" s="162"/>
      <c r="AF69" s="162"/>
      <c r="AG69" s="160"/>
      <c r="AH69" s="170"/>
      <c r="AI69" s="168">
        <f t="shared" ref="AI69" si="73">SUM(D69:AH69)</f>
        <v>0</v>
      </c>
      <c r="AJ69" s="86">
        <f>SUMIF(D71:AH71, "LL", D69:AH69) + SUMIF(D71:AH71, "LL", D70:AH70)</f>
        <v>0</v>
      </c>
      <c r="AK69" s="31"/>
      <c r="AL69" s="31"/>
      <c r="AM69" s="99">
        <f t="shared" ref="AM69" si="74">SUMIF(D71:AH71, "CO", D69:AH69) + SUMIF(D71:AH71, "CO", D70:AH70)</f>
        <v>0</v>
      </c>
      <c r="AN69" s="51">
        <f>SUM(AI69:AM69)</f>
        <v>0</v>
      </c>
      <c r="AO69" s="106"/>
      <c r="AP69" s="68"/>
      <c r="AQ69" s="133"/>
      <c r="AR69" s="40"/>
      <c r="AS69" s="121"/>
      <c r="AT69" s="121"/>
      <c r="AU69" s="121"/>
      <c r="AV69" s="121"/>
      <c r="AW69" s="121"/>
      <c r="AX69" s="121"/>
      <c r="AY69" s="121"/>
      <c r="AZ69" s="121"/>
      <c r="BA69" s="121"/>
      <c r="BB69" s="121"/>
      <c r="BC69" s="121"/>
      <c r="BD69" s="121"/>
      <c r="BE69" s="121"/>
      <c r="BF69" s="121"/>
      <c r="BG69" s="121"/>
      <c r="BH69" s="121"/>
      <c r="BI69" s="121"/>
      <c r="BJ69" s="121"/>
      <c r="BK69" s="121"/>
      <c r="BL69" s="121"/>
      <c r="BM69" s="121"/>
      <c r="BN69" s="121"/>
      <c r="CD69" s="83">
        <f t="shared" si="34"/>
        <v>0</v>
      </c>
      <c r="CE69" s="66">
        <f t="shared" si="35"/>
        <v>0</v>
      </c>
      <c r="CF69" s="83">
        <f t="shared" si="36"/>
        <v>0</v>
      </c>
      <c r="CG69" s="65">
        <f t="shared" si="37"/>
        <v>0</v>
      </c>
      <c r="CH69" s="83">
        <f t="shared" si="38"/>
        <v>0</v>
      </c>
      <c r="CI69" s="65">
        <f t="shared" si="39"/>
        <v>0</v>
      </c>
      <c r="CJ69" s="83">
        <f t="shared" si="40"/>
        <v>0</v>
      </c>
      <c r="CK69" s="65">
        <f t="shared" si="41"/>
        <v>0</v>
      </c>
      <c r="CL69" s="83">
        <f t="shared" si="42"/>
        <v>0</v>
      </c>
      <c r="CM69" s="83">
        <f t="shared" si="43"/>
        <v>0</v>
      </c>
      <c r="CN69" s="117">
        <f t="shared" si="44"/>
        <v>0</v>
      </c>
      <c r="CO69" s="117">
        <f t="shared" si="45"/>
        <v>0</v>
      </c>
      <c r="CP69" s="117">
        <f t="shared" si="46"/>
        <v>0</v>
      </c>
      <c r="CQ69" s="117">
        <f t="shared" si="47"/>
        <v>0</v>
      </c>
      <c r="CS69" s="83">
        <f t="shared" si="50"/>
        <v>0</v>
      </c>
      <c r="CT69" s="83">
        <f t="shared" si="51"/>
        <v>0</v>
      </c>
      <c r="CU69" s="83">
        <f t="shared" si="52"/>
        <v>0</v>
      </c>
      <c r="CV69" s="117">
        <v>0</v>
      </c>
      <c r="CW69" s="117">
        <v>0</v>
      </c>
      <c r="CX69" s="117">
        <v>0</v>
      </c>
      <c r="CY69" s="117">
        <v>0</v>
      </c>
    </row>
    <row r="70" spans="1:109" s="2" customFormat="1" ht="20" thickBot="1" x14ac:dyDescent="0.3">
      <c r="A70" s="203"/>
      <c r="B70" s="149"/>
      <c r="C70" s="3" t="s">
        <v>12</v>
      </c>
      <c r="D70" s="167"/>
      <c r="E70" s="167"/>
      <c r="F70" s="161"/>
      <c r="G70" s="165"/>
      <c r="H70" s="163"/>
      <c r="I70" s="163"/>
      <c r="J70" s="161"/>
      <c r="K70" s="161"/>
      <c r="L70" s="161"/>
      <c r="M70" s="161"/>
      <c r="N70" s="165"/>
      <c r="O70" s="163"/>
      <c r="P70" s="163"/>
      <c r="Q70" s="161"/>
      <c r="R70" s="161"/>
      <c r="S70" s="161"/>
      <c r="T70" s="173"/>
      <c r="U70" s="165"/>
      <c r="V70" s="163"/>
      <c r="W70" s="163"/>
      <c r="X70" s="161"/>
      <c r="Y70" s="161"/>
      <c r="Z70" s="165"/>
      <c r="AA70" s="165"/>
      <c r="AB70" s="161"/>
      <c r="AC70" s="163"/>
      <c r="AD70" s="163"/>
      <c r="AE70" s="163"/>
      <c r="AF70" s="163"/>
      <c r="AG70" s="161"/>
      <c r="AH70" s="171"/>
      <c r="AI70" s="169"/>
      <c r="AJ70" s="11"/>
      <c r="AK70" s="11"/>
      <c r="AL70" s="11"/>
      <c r="AM70" s="11"/>
      <c r="AN70" s="52"/>
      <c r="AO70" s="24"/>
      <c r="AP70" s="69"/>
      <c r="AQ70" s="133"/>
      <c r="AR70" s="40"/>
      <c r="AS70" s="121"/>
      <c r="AT70" s="121"/>
      <c r="AU70" s="121"/>
      <c r="AV70" s="121"/>
      <c r="AW70" s="121"/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CD70" s="83">
        <f t="shared" si="34"/>
        <v>0</v>
      </c>
      <c r="CE70" s="66">
        <f t="shared" si="35"/>
        <v>0</v>
      </c>
      <c r="CF70" s="83">
        <f t="shared" si="36"/>
        <v>0</v>
      </c>
      <c r="CG70" s="65">
        <f t="shared" si="37"/>
        <v>0</v>
      </c>
      <c r="CH70" s="83">
        <f t="shared" si="38"/>
        <v>0</v>
      </c>
      <c r="CI70" s="65">
        <f t="shared" si="39"/>
        <v>0</v>
      </c>
      <c r="CJ70" s="83">
        <f t="shared" si="40"/>
        <v>0</v>
      </c>
      <c r="CK70" s="65">
        <f t="shared" si="41"/>
        <v>0</v>
      </c>
      <c r="CL70" s="83">
        <f t="shared" si="42"/>
        <v>0</v>
      </c>
      <c r="CM70" s="83">
        <f t="shared" si="43"/>
        <v>0</v>
      </c>
      <c r="CN70" s="117">
        <f t="shared" si="44"/>
        <v>0</v>
      </c>
      <c r="CO70" s="117">
        <f t="shared" si="45"/>
        <v>0</v>
      </c>
      <c r="CP70" s="117">
        <f t="shared" si="46"/>
        <v>0</v>
      </c>
      <c r="CQ70" s="117">
        <f t="shared" si="47"/>
        <v>0</v>
      </c>
      <c r="CS70" s="83">
        <f t="shared" si="50"/>
        <v>0</v>
      </c>
      <c r="CT70" s="83">
        <f t="shared" si="51"/>
        <v>0</v>
      </c>
      <c r="CU70" s="83">
        <f t="shared" si="52"/>
        <v>0</v>
      </c>
      <c r="CV70" s="117">
        <v>0</v>
      </c>
      <c r="CW70" s="117">
        <v>0</v>
      </c>
      <c r="CX70" s="117">
        <v>0</v>
      </c>
      <c r="CY70" s="117">
        <v>0</v>
      </c>
    </row>
    <row r="71" spans="1:109" s="2" customFormat="1" ht="20" thickBot="1" x14ac:dyDescent="0.3">
      <c r="A71" s="204"/>
      <c r="B71" s="150"/>
      <c r="C71" s="92" t="s">
        <v>4</v>
      </c>
      <c r="D71" s="88"/>
      <c r="E71" s="88"/>
      <c r="F71" s="88"/>
      <c r="G71" s="89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90"/>
      <c r="AI71" s="36"/>
      <c r="AJ71" s="34"/>
      <c r="AK71" s="34"/>
      <c r="AL71" s="34"/>
      <c r="AM71" s="34"/>
      <c r="AN71" s="53"/>
      <c r="AO71" s="25"/>
      <c r="AP71" s="70"/>
      <c r="AQ71" s="133"/>
      <c r="AR71" s="40"/>
      <c r="AS71" s="121"/>
      <c r="AT71" s="121"/>
      <c r="AU71" s="121"/>
      <c r="AV71" s="121"/>
      <c r="AW71" s="121"/>
      <c r="AX71" s="121"/>
      <c r="AY71" s="121"/>
      <c r="AZ71" s="121"/>
      <c r="BA71" s="121"/>
      <c r="BB71" s="121"/>
      <c r="BC71" s="121"/>
      <c r="BD71" s="121"/>
      <c r="BE71" s="121"/>
      <c r="BF71" s="121"/>
      <c r="BG71" s="121"/>
      <c r="BH71" s="121"/>
      <c r="BI71" s="121"/>
      <c r="BJ71" s="121"/>
      <c r="BK71" s="121"/>
      <c r="BL71" s="121"/>
      <c r="BM71" s="121"/>
      <c r="BN71" s="121"/>
      <c r="CD71" s="83">
        <f t="shared" si="34"/>
        <v>0</v>
      </c>
      <c r="CE71" s="66">
        <f t="shared" si="35"/>
        <v>0</v>
      </c>
      <c r="CF71" s="83">
        <f t="shared" si="36"/>
        <v>0</v>
      </c>
      <c r="CG71" s="65">
        <f t="shared" si="37"/>
        <v>0</v>
      </c>
      <c r="CH71" s="83">
        <f t="shared" si="38"/>
        <v>0</v>
      </c>
      <c r="CI71" s="65">
        <f t="shared" si="39"/>
        <v>0</v>
      </c>
      <c r="CJ71" s="83">
        <f t="shared" si="40"/>
        <v>0</v>
      </c>
      <c r="CK71" s="65">
        <f t="shared" si="41"/>
        <v>0</v>
      </c>
      <c r="CL71" s="83">
        <f t="shared" si="42"/>
        <v>0</v>
      </c>
      <c r="CM71" s="83">
        <f t="shared" si="43"/>
        <v>0</v>
      </c>
      <c r="CN71" s="117">
        <f t="shared" si="44"/>
        <v>0</v>
      </c>
      <c r="CO71" s="117">
        <f t="shared" si="45"/>
        <v>0</v>
      </c>
      <c r="CP71" s="117">
        <f t="shared" si="46"/>
        <v>0</v>
      </c>
      <c r="CQ71" s="117">
        <f t="shared" si="47"/>
        <v>0</v>
      </c>
      <c r="CS71" s="83">
        <f t="shared" si="50"/>
        <v>0</v>
      </c>
      <c r="CT71" s="83">
        <f t="shared" si="51"/>
        <v>0</v>
      </c>
      <c r="CU71" s="83">
        <f t="shared" si="52"/>
        <v>0</v>
      </c>
      <c r="CV71" s="117">
        <v>0</v>
      </c>
      <c r="CW71" s="117">
        <v>0</v>
      </c>
      <c r="CX71" s="117">
        <v>0</v>
      </c>
      <c r="CY71" s="117">
        <v>0</v>
      </c>
    </row>
    <row r="72" spans="1:109" s="2" customFormat="1" ht="21" thickTop="1" thickBot="1" x14ac:dyDescent="0.3">
      <c r="A72" s="202">
        <v>22</v>
      </c>
      <c r="B72" s="148"/>
      <c r="C72" s="91" t="s">
        <v>11</v>
      </c>
      <c r="D72" s="166"/>
      <c r="E72" s="166"/>
      <c r="F72" s="160"/>
      <c r="G72" s="164"/>
      <c r="H72" s="162"/>
      <c r="I72" s="162"/>
      <c r="J72" s="160"/>
      <c r="K72" s="160"/>
      <c r="L72" s="160"/>
      <c r="M72" s="160"/>
      <c r="N72" s="164"/>
      <c r="O72" s="162"/>
      <c r="P72" s="162"/>
      <c r="Q72" s="160"/>
      <c r="R72" s="160"/>
      <c r="S72" s="160"/>
      <c r="T72" s="172"/>
      <c r="U72" s="164"/>
      <c r="V72" s="162"/>
      <c r="W72" s="162"/>
      <c r="X72" s="160"/>
      <c r="Y72" s="160"/>
      <c r="Z72" s="164"/>
      <c r="AA72" s="164"/>
      <c r="AB72" s="160"/>
      <c r="AC72" s="162"/>
      <c r="AD72" s="162"/>
      <c r="AE72" s="162"/>
      <c r="AF72" s="162"/>
      <c r="AG72" s="160"/>
      <c r="AH72" s="170"/>
      <c r="AI72" s="174">
        <f t="shared" ref="AI72" si="75">SUM(D72:AH72)</f>
        <v>0</v>
      </c>
      <c r="AJ72" s="87">
        <f>SUMIF(D74:AH74, "LL", D72:AH72) + SUMIF(D74:AH74, "LL", D73:AH73)</f>
        <v>0</v>
      </c>
      <c r="AK72" s="39"/>
      <c r="AL72" s="39"/>
      <c r="AM72" s="100">
        <f t="shared" ref="AM72" si="76">SUMIF(D74:AH74, "CO", D72:AH72) + SUMIF(D74:AH74, "CO", D73:AH73)</f>
        <v>0</v>
      </c>
      <c r="AN72" s="54">
        <f>SUM(AI72:AM72)</f>
        <v>0</v>
      </c>
      <c r="AO72" s="107"/>
      <c r="AP72" s="71"/>
      <c r="AQ72" s="133"/>
      <c r="AR72" s="40"/>
      <c r="AS72" s="121"/>
      <c r="AT72" s="121"/>
      <c r="AU72" s="121"/>
      <c r="AV72" s="121"/>
      <c r="AW72" s="121"/>
      <c r="AX72" s="121"/>
      <c r="AY72" s="121"/>
      <c r="AZ72" s="121"/>
      <c r="BA72" s="121"/>
      <c r="BB72" s="121"/>
      <c r="BC72" s="121"/>
      <c r="BD72" s="121"/>
      <c r="BE72" s="121"/>
      <c r="BF72" s="121"/>
      <c r="BG72" s="121"/>
      <c r="BH72" s="121"/>
      <c r="BI72" s="121"/>
      <c r="BJ72" s="121"/>
      <c r="BK72" s="121"/>
      <c r="BL72" s="121"/>
      <c r="BM72" s="121"/>
      <c r="BN72" s="121"/>
      <c r="CD72" s="83">
        <f t="shared" si="34"/>
        <v>0</v>
      </c>
      <c r="CE72" s="66">
        <f t="shared" si="35"/>
        <v>0</v>
      </c>
      <c r="CF72" s="83">
        <f t="shared" si="36"/>
        <v>0</v>
      </c>
      <c r="CG72" s="65">
        <f t="shared" si="37"/>
        <v>0</v>
      </c>
      <c r="CH72" s="83">
        <f t="shared" si="38"/>
        <v>0</v>
      </c>
      <c r="CI72" s="65">
        <f t="shared" si="39"/>
        <v>0</v>
      </c>
      <c r="CJ72" s="83">
        <f t="shared" si="40"/>
        <v>0</v>
      </c>
      <c r="CK72" s="65">
        <f t="shared" si="41"/>
        <v>0</v>
      </c>
      <c r="CL72" s="83">
        <f t="shared" si="42"/>
        <v>0</v>
      </c>
      <c r="CM72" s="83">
        <f t="shared" si="43"/>
        <v>0</v>
      </c>
      <c r="CN72" s="117">
        <f t="shared" si="44"/>
        <v>0</v>
      </c>
      <c r="CO72" s="117">
        <f t="shared" si="45"/>
        <v>0</v>
      </c>
      <c r="CP72" s="117">
        <f t="shared" si="46"/>
        <v>0</v>
      </c>
      <c r="CQ72" s="117">
        <f t="shared" si="47"/>
        <v>0</v>
      </c>
      <c r="CS72" s="83">
        <f t="shared" si="50"/>
        <v>0</v>
      </c>
      <c r="CT72" s="83">
        <f t="shared" si="51"/>
        <v>0</v>
      </c>
      <c r="CU72" s="83">
        <f t="shared" si="52"/>
        <v>0</v>
      </c>
      <c r="CV72" s="117">
        <v>0</v>
      </c>
      <c r="CW72" s="117">
        <v>0</v>
      </c>
      <c r="CX72" s="117">
        <v>0</v>
      </c>
      <c r="CY72" s="117">
        <v>0</v>
      </c>
    </row>
    <row r="73" spans="1:109" s="2" customFormat="1" ht="20" thickBot="1" x14ac:dyDescent="0.3">
      <c r="A73" s="203"/>
      <c r="B73" s="149"/>
      <c r="C73" s="3" t="s">
        <v>12</v>
      </c>
      <c r="D73" s="167"/>
      <c r="E73" s="167"/>
      <c r="F73" s="161"/>
      <c r="G73" s="165"/>
      <c r="H73" s="163"/>
      <c r="I73" s="163"/>
      <c r="J73" s="161"/>
      <c r="K73" s="161"/>
      <c r="L73" s="161"/>
      <c r="M73" s="161"/>
      <c r="N73" s="165"/>
      <c r="O73" s="163"/>
      <c r="P73" s="163"/>
      <c r="Q73" s="161"/>
      <c r="R73" s="161"/>
      <c r="S73" s="161"/>
      <c r="T73" s="173"/>
      <c r="U73" s="165"/>
      <c r="V73" s="163"/>
      <c r="W73" s="163"/>
      <c r="X73" s="161"/>
      <c r="Y73" s="161"/>
      <c r="Z73" s="165"/>
      <c r="AA73" s="165"/>
      <c r="AB73" s="161"/>
      <c r="AC73" s="163"/>
      <c r="AD73" s="163"/>
      <c r="AE73" s="163"/>
      <c r="AF73" s="163"/>
      <c r="AG73" s="161"/>
      <c r="AH73" s="171"/>
      <c r="AI73" s="169"/>
      <c r="AJ73" s="11"/>
      <c r="AK73" s="11"/>
      <c r="AL73" s="11"/>
      <c r="AM73" s="11"/>
      <c r="AN73" s="52"/>
      <c r="AO73" s="24"/>
      <c r="AP73" s="69"/>
      <c r="AQ73" s="133"/>
      <c r="AR73" s="43"/>
      <c r="AS73" s="121"/>
      <c r="AT73" s="121"/>
      <c r="AU73" s="121"/>
      <c r="AV73" s="121"/>
      <c r="AW73" s="121"/>
      <c r="AX73" s="121"/>
      <c r="AY73" s="121"/>
      <c r="AZ73" s="121"/>
      <c r="BA73" s="121"/>
      <c r="BB73" s="121"/>
      <c r="BC73" s="121"/>
      <c r="BD73" s="121"/>
      <c r="BE73" s="121"/>
      <c r="BF73" s="121"/>
      <c r="BG73" s="121"/>
      <c r="BH73" s="121"/>
      <c r="BI73" s="121"/>
      <c r="BJ73" s="121"/>
      <c r="BK73" s="121"/>
      <c r="BL73" s="121"/>
      <c r="BM73" s="121"/>
      <c r="BN73" s="121"/>
      <c r="CD73" s="83">
        <f t="shared" ref="CD73:CD104" si="77">SUMIF(D75:AH75,"T",D73:AH73)</f>
        <v>0</v>
      </c>
      <c r="CE73" s="66">
        <f t="shared" ref="CE73:CE104" si="78">AP73*CD73</f>
        <v>0</v>
      </c>
      <c r="CF73" s="83">
        <f t="shared" ref="CF73:CF104" si="79">SUMIF(D75:AH75,"VS",D73:AH73)</f>
        <v>0</v>
      </c>
      <c r="CG73" s="65">
        <f t="shared" ref="CG73:CG104" si="80">AP73*CF73</f>
        <v>0</v>
      </c>
      <c r="CH73" s="83">
        <f t="shared" ref="CH73:CH104" si="81">SUMIF(D75:AH75,"Sb",D73:AH73)</f>
        <v>0</v>
      </c>
      <c r="CI73" s="65">
        <f t="shared" ref="CI73:CI104" si="82">AP73*CH73</f>
        <v>0</v>
      </c>
      <c r="CJ73" s="83">
        <f t="shared" ref="CJ73:CJ104" si="83">SUMIF(D75:AH75,"VB",D73:AH73)</f>
        <v>0</v>
      </c>
      <c r="CK73" s="65">
        <f t="shared" ref="CK73:CK104" si="84">AP73*CJ73</f>
        <v>0</v>
      </c>
      <c r="CL73" s="83">
        <f t="shared" ref="CL73:CL104" si="85">SUMIF(D75:AH75,"VCC",D73:AH73)</f>
        <v>0</v>
      </c>
      <c r="CM73" s="83">
        <f t="shared" ref="CM73:CM104" si="86">AP73*CL73</f>
        <v>0</v>
      </c>
      <c r="CN73" s="117">
        <f t="shared" ref="CN73:CN104" si="87">SUMIF(D75:AH75,"VB3",D73:AH73)</f>
        <v>0</v>
      </c>
      <c r="CO73" s="117">
        <f t="shared" ref="CO73:CO104" si="88">AP73*CN73</f>
        <v>0</v>
      </c>
      <c r="CP73" s="117">
        <f t="shared" ref="CP73:CP104" si="89">SUMIF(D75:AH75,"VB14",D73:AH73)</f>
        <v>0</v>
      </c>
      <c r="CQ73" s="117">
        <f t="shared" ref="CQ73:CQ104" si="90">AP73*CP73</f>
        <v>0</v>
      </c>
      <c r="CS73" s="83">
        <f t="shared" si="50"/>
        <v>0</v>
      </c>
      <c r="CT73" s="83">
        <f t="shared" si="51"/>
        <v>0</v>
      </c>
      <c r="CU73" s="83">
        <f t="shared" si="52"/>
        <v>0</v>
      </c>
      <c r="CV73" s="117">
        <v>0</v>
      </c>
      <c r="CW73" s="117">
        <v>0</v>
      </c>
      <c r="CX73" s="117">
        <v>0</v>
      </c>
      <c r="CY73" s="117">
        <v>0</v>
      </c>
    </row>
    <row r="74" spans="1:109" s="2" customFormat="1" ht="20" thickBot="1" x14ac:dyDescent="0.3">
      <c r="A74" s="204"/>
      <c r="B74" s="150"/>
      <c r="C74" s="92" t="s">
        <v>4</v>
      </c>
      <c r="D74" s="88"/>
      <c r="E74" s="88"/>
      <c r="F74" s="88"/>
      <c r="G74" s="89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90"/>
      <c r="AI74" s="36"/>
      <c r="AJ74" s="34"/>
      <c r="AK74" s="34"/>
      <c r="AL74" s="34"/>
      <c r="AM74" s="34"/>
      <c r="AN74" s="53"/>
      <c r="AO74" s="25"/>
      <c r="AP74" s="70"/>
      <c r="AQ74" s="133"/>
      <c r="AR74" s="43"/>
      <c r="AS74" s="121"/>
      <c r="AT74" s="121"/>
      <c r="AU74" s="121"/>
      <c r="AV74" s="121"/>
      <c r="AW74" s="121"/>
      <c r="AX74" s="121"/>
      <c r="AY74" s="121"/>
      <c r="AZ74" s="121"/>
      <c r="BA74" s="121"/>
      <c r="BB74" s="121"/>
      <c r="BC74" s="121"/>
      <c r="BD74" s="121"/>
      <c r="BE74" s="121"/>
      <c r="BF74" s="121"/>
      <c r="BG74" s="121"/>
      <c r="BH74" s="121"/>
      <c r="BI74" s="121"/>
      <c r="BJ74" s="121"/>
      <c r="BK74" s="121"/>
      <c r="BL74" s="121"/>
      <c r="BM74" s="121"/>
      <c r="BN74" s="121"/>
      <c r="CD74" s="83">
        <f t="shared" si="77"/>
        <v>0</v>
      </c>
      <c r="CE74" s="66">
        <f t="shared" si="78"/>
        <v>0</v>
      </c>
      <c r="CF74" s="83">
        <f t="shared" si="79"/>
        <v>0</v>
      </c>
      <c r="CG74" s="65">
        <f t="shared" si="80"/>
        <v>0</v>
      </c>
      <c r="CH74" s="83">
        <f t="shared" si="81"/>
        <v>0</v>
      </c>
      <c r="CI74" s="65">
        <f t="shared" si="82"/>
        <v>0</v>
      </c>
      <c r="CJ74" s="83">
        <f t="shared" si="83"/>
        <v>0</v>
      </c>
      <c r="CK74" s="65">
        <f t="shared" si="84"/>
        <v>0</v>
      </c>
      <c r="CL74" s="83">
        <f t="shared" si="85"/>
        <v>0</v>
      </c>
      <c r="CM74" s="83">
        <f t="shared" si="86"/>
        <v>0</v>
      </c>
      <c r="CN74" s="117">
        <f t="shared" si="87"/>
        <v>0</v>
      </c>
      <c r="CO74" s="117">
        <f t="shared" si="88"/>
        <v>0</v>
      </c>
      <c r="CP74" s="117">
        <f t="shared" si="89"/>
        <v>0</v>
      </c>
      <c r="CQ74" s="117">
        <f t="shared" si="90"/>
        <v>0</v>
      </c>
      <c r="CS74" s="83">
        <f t="shared" ref="CS74:CS105" si="91">SUMIF(K76:AO76, "T", K74:AO74) + SUMIF(K76:AO76, "T", K75:AO75)</f>
        <v>0</v>
      </c>
      <c r="CT74" s="83">
        <f t="shared" ref="CT74:CT105" si="92">SUMIF(L76:AP76, "T", L74:AP74) + SUMIF(L76:AP76, "T", L75:AP75)</f>
        <v>0</v>
      </c>
      <c r="CU74" s="83">
        <f t="shared" ref="CU74:CU105" si="93">SUMIF(M76:AQ76, "T", M74:AQ74) + SUMIF(M76:AQ76, "T", M75:AQ75)</f>
        <v>0</v>
      </c>
      <c r="CV74" s="117">
        <v>0</v>
      </c>
      <c r="CW74" s="117">
        <v>0</v>
      </c>
      <c r="CX74" s="117">
        <v>0</v>
      </c>
      <c r="CY74" s="117">
        <v>0</v>
      </c>
    </row>
    <row r="75" spans="1:109" s="2" customFormat="1" ht="21" thickTop="1" thickBot="1" x14ac:dyDescent="0.3">
      <c r="A75" s="202">
        <v>23</v>
      </c>
      <c r="B75" s="148"/>
      <c r="C75" s="91" t="s">
        <v>11</v>
      </c>
      <c r="D75" s="166"/>
      <c r="E75" s="166"/>
      <c r="F75" s="160"/>
      <c r="G75" s="164"/>
      <c r="H75" s="162"/>
      <c r="I75" s="162"/>
      <c r="J75" s="160"/>
      <c r="K75" s="160"/>
      <c r="L75" s="160"/>
      <c r="M75" s="160"/>
      <c r="N75" s="164"/>
      <c r="O75" s="162"/>
      <c r="P75" s="162"/>
      <c r="Q75" s="160"/>
      <c r="R75" s="160"/>
      <c r="S75" s="160"/>
      <c r="T75" s="172"/>
      <c r="U75" s="164"/>
      <c r="V75" s="162"/>
      <c r="W75" s="162"/>
      <c r="X75" s="160"/>
      <c r="Y75" s="160"/>
      <c r="Z75" s="164"/>
      <c r="AA75" s="164"/>
      <c r="AB75" s="160"/>
      <c r="AC75" s="162"/>
      <c r="AD75" s="162"/>
      <c r="AE75" s="162"/>
      <c r="AF75" s="162"/>
      <c r="AG75" s="160"/>
      <c r="AH75" s="170"/>
      <c r="AI75" s="168">
        <f t="shared" ref="AI75" si="94">SUM(D75:AH75)</f>
        <v>0</v>
      </c>
      <c r="AJ75" s="86">
        <f>SUMIF(D77:AH77, "LL", D75:AH75) + SUMIF(D77:AH77, "LL", D76:AH76)</f>
        <v>0</v>
      </c>
      <c r="AK75" s="32"/>
      <c r="AL75" s="8"/>
      <c r="AM75" s="99">
        <f t="shared" ref="AM75" si="95">SUMIF(D77:AH77, "CO", D75:AH75) + SUMIF(D77:AH77, "CO", D76:AH76)</f>
        <v>0</v>
      </c>
      <c r="AN75" s="55">
        <f>SUM(AI75:AM75)</f>
        <v>0</v>
      </c>
      <c r="AO75" s="8"/>
      <c r="AP75" s="72"/>
      <c r="AQ75" s="133"/>
      <c r="AR75" s="44"/>
      <c r="AS75" s="121"/>
      <c r="AT75" s="121"/>
      <c r="AU75" s="121"/>
      <c r="AV75" s="121"/>
      <c r="AW75" s="121"/>
      <c r="AX75" s="121"/>
      <c r="AY75" s="121"/>
      <c r="AZ75" s="121"/>
      <c r="BA75" s="121"/>
      <c r="BB75" s="121"/>
      <c r="BC75" s="121"/>
      <c r="BD75" s="121"/>
      <c r="BE75" s="121"/>
      <c r="BF75" s="121"/>
      <c r="BG75" s="121"/>
      <c r="BH75" s="121"/>
      <c r="BI75" s="121"/>
      <c r="BJ75" s="121"/>
      <c r="BK75" s="121"/>
      <c r="BL75" s="121"/>
      <c r="BM75" s="121"/>
      <c r="BN75" s="121"/>
      <c r="CD75" s="83">
        <f t="shared" si="77"/>
        <v>0</v>
      </c>
      <c r="CE75" s="66">
        <f t="shared" si="78"/>
        <v>0</v>
      </c>
      <c r="CF75" s="83">
        <f t="shared" si="79"/>
        <v>0</v>
      </c>
      <c r="CG75" s="65">
        <f t="shared" si="80"/>
        <v>0</v>
      </c>
      <c r="CH75" s="83">
        <f t="shared" si="81"/>
        <v>0</v>
      </c>
      <c r="CI75" s="65">
        <f t="shared" si="82"/>
        <v>0</v>
      </c>
      <c r="CJ75" s="83">
        <f t="shared" si="83"/>
        <v>0</v>
      </c>
      <c r="CK75" s="65">
        <f t="shared" si="84"/>
        <v>0</v>
      </c>
      <c r="CL75" s="83">
        <f t="shared" si="85"/>
        <v>0</v>
      </c>
      <c r="CM75" s="83">
        <f t="shared" si="86"/>
        <v>0</v>
      </c>
      <c r="CN75" s="117">
        <f t="shared" si="87"/>
        <v>0</v>
      </c>
      <c r="CO75" s="117">
        <f t="shared" si="88"/>
        <v>0</v>
      </c>
      <c r="CP75" s="117">
        <f t="shared" si="89"/>
        <v>0</v>
      </c>
      <c r="CQ75" s="117">
        <f t="shared" si="90"/>
        <v>0</v>
      </c>
      <c r="CS75" s="83">
        <f t="shared" si="91"/>
        <v>0</v>
      </c>
      <c r="CT75" s="83">
        <f t="shared" si="92"/>
        <v>0</v>
      </c>
      <c r="CU75" s="83">
        <f t="shared" si="93"/>
        <v>0</v>
      </c>
      <c r="CV75" s="117">
        <v>0</v>
      </c>
      <c r="CW75" s="117">
        <v>0</v>
      </c>
      <c r="CX75" s="117">
        <v>0</v>
      </c>
      <c r="CY75" s="117">
        <v>0</v>
      </c>
    </row>
    <row r="76" spans="1:109" s="2" customFormat="1" ht="20" thickBot="1" x14ac:dyDescent="0.3">
      <c r="A76" s="203"/>
      <c r="B76" s="149"/>
      <c r="C76" s="3" t="s">
        <v>12</v>
      </c>
      <c r="D76" s="167"/>
      <c r="E76" s="167"/>
      <c r="F76" s="161"/>
      <c r="G76" s="165"/>
      <c r="H76" s="163"/>
      <c r="I76" s="163"/>
      <c r="J76" s="161"/>
      <c r="K76" s="161"/>
      <c r="L76" s="161"/>
      <c r="M76" s="161"/>
      <c r="N76" s="165"/>
      <c r="O76" s="163"/>
      <c r="P76" s="163"/>
      <c r="Q76" s="161"/>
      <c r="R76" s="161"/>
      <c r="S76" s="161"/>
      <c r="T76" s="173"/>
      <c r="U76" s="165"/>
      <c r="V76" s="163"/>
      <c r="W76" s="163"/>
      <c r="X76" s="161"/>
      <c r="Y76" s="161"/>
      <c r="Z76" s="165"/>
      <c r="AA76" s="165"/>
      <c r="AB76" s="161"/>
      <c r="AC76" s="163"/>
      <c r="AD76" s="163"/>
      <c r="AE76" s="163"/>
      <c r="AF76" s="163"/>
      <c r="AG76" s="161"/>
      <c r="AH76" s="171"/>
      <c r="AI76" s="169"/>
      <c r="AJ76" s="11"/>
      <c r="AK76" s="21"/>
      <c r="AL76" s="7"/>
      <c r="AM76" s="11"/>
      <c r="AN76" s="56"/>
      <c r="AO76" s="5"/>
      <c r="AP76" s="73"/>
      <c r="AQ76" s="133"/>
      <c r="AR76" s="5"/>
      <c r="AS76" s="121"/>
      <c r="AT76" s="121"/>
      <c r="AU76" s="121"/>
      <c r="AV76" s="121"/>
      <c r="AW76" s="121"/>
      <c r="AX76" s="121"/>
      <c r="AY76" s="121"/>
      <c r="AZ76" s="121"/>
      <c r="BA76" s="121"/>
      <c r="BB76" s="121"/>
      <c r="BC76" s="121"/>
      <c r="BD76" s="121"/>
      <c r="BE76" s="121"/>
      <c r="BF76" s="121"/>
      <c r="BG76" s="121"/>
      <c r="BH76" s="121"/>
      <c r="BI76" s="121"/>
      <c r="BJ76" s="121"/>
      <c r="BK76" s="121"/>
      <c r="BL76" s="121"/>
      <c r="BM76" s="121"/>
      <c r="BN76" s="121"/>
      <c r="CD76" s="83">
        <f t="shared" si="77"/>
        <v>0</v>
      </c>
      <c r="CE76" s="66">
        <f t="shared" si="78"/>
        <v>0</v>
      </c>
      <c r="CF76" s="83">
        <f t="shared" si="79"/>
        <v>0</v>
      </c>
      <c r="CG76" s="65">
        <f t="shared" si="80"/>
        <v>0</v>
      </c>
      <c r="CH76" s="83">
        <f t="shared" si="81"/>
        <v>0</v>
      </c>
      <c r="CI76" s="65">
        <f t="shared" si="82"/>
        <v>0</v>
      </c>
      <c r="CJ76" s="83">
        <f t="shared" si="83"/>
        <v>0</v>
      </c>
      <c r="CK76" s="65">
        <f t="shared" si="84"/>
        <v>0</v>
      </c>
      <c r="CL76" s="83">
        <f t="shared" si="85"/>
        <v>0</v>
      </c>
      <c r="CM76" s="83">
        <f t="shared" si="86"/>
        <v>0</v>
      </c>
      <c r="CN76" s="117">
        <f t="shared" si="87"/>
        <v>0</v>
      </c>
      <c r="CO76" s="117">
        <f t="shared" si="88"/>
        <v>0</v>
      </c>
      <c r="CP76" s="117">
        <f t="shared" si="89"/>
        <v>0</v>
      </c>
      <c r="CQ76" s="117">
        <f t="shared" si="90"/>
        <v>0</v>
      </c>
      <c r="CS76" s="83">
        <f t="shared" si="91"/>
        <v>0</v>
      </c>
      <c r="CT76" s="83">
        <f t="shared" si="92"/>
        <v>0</v>
      </c>
      <c r="CU76" s="83">
        <f t="shared" si="93"/>
        <v>0</v>
      </c>
      <c r="CV76" s="117">
        <v>0</v>
      </c>
      <c r="CW76" s="117">
        <v>0</v>
      </c>
      <c r="CX76" s="117">
        <v>0</v>
      </c>
      <c r="CY76" s="117">
        <v>0</v>
      </c>
    </row>
    <row r="77" spans="1:109" s="2" customFormat="1" ht="20" thickBot="1" x14ac:dyDescent="0.3">
      <c r="A77" s="204"/>
      <c r="B77" s="150"/>
      <c r="C77" s="92" t="s">
        <v>4</v>
      </c>
      <c r="D77" s="88"/>
      <c r="E77" s="88"/>
      <c r="F77" s="88"/>
      <c r="G77" s="89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90"/>
      <c r="AI77" s="36"/>
      <c r="AJ77" s="34"/>
      <c r="AK77" s="33"/>
      <c r="AL77" s="28"/>
      <c r="AM77" s="34"/>
      <c r="AN77" s="57"/>
      <c r="AO77" s="30"/>
      <c r="AP77" s="74"/>
      <c r="AQ77" s="133"/>
      <c r="AR77" s="5"/>
      <c r="AS77" s="121"/>
      <c r="AT77" s="121"/>
      <c r="AU77" s="121"/>
      <c r="AV77" s="121"/>
      <c r="AW77" s="121"/>
      <c r="AX77" s="121"/>
      <c r="AY77" s="121"/>
      <c r="AZ77" s="121"/>
      <c r="BA77" s="121"/>
      <c r="BB77" s="121"/>
      <c r="BC77" s="121"/>
      <c r="BD77" s="121"/>
      <c r="BE77" s="121"/>
      <c r="BF77" s="121"/>
      <c r="BG77" s="121"/>
      <c r="BH77" s="121"/>
      <c r="BI77" s="121"/>
      <c r="BJ77" s="121"/>
      <c r="BK77" s="121"/>
      <c r="BL77" s="121"/>
      <c r="BM77" s="121"/>
      <c r="BN77" s="121"/>
      <c r="CD77" s="83">
        <f t="shared" si="77"/>
        <v>0</v>
      </c>
      <c r="CE77" s="66">
        <f t="shared" si="78"/>
        <v>0</v>
      </c>
      <c r="CF77" s="83">
        <f t="shared" si="79"/>
        <v>0</v>
      </c>
      <c r="CG77" s="65">
        <f t="shared" si="80"/>
        <v>0</v>
      </c>
      <c r="CH77" s="83">
        <f t="shared" si="81"/>
        <v>0</v>
      </c>
      <c r="CI77" s="65">
        <f t="shared" si="82"/>
        <v>0</v>
      </c>
      <c r="CJ77" s="83">
        <f t="shared" si="83"/>
        <v>0</v>
      </c>
      <c r="CK77" s="65">
        <f t="shared" si="84"/>
        <v>0</v>
      </c>
      <c r="CL77" s="83">
        <f t="shared" si="85"/>
        <v>0</v>
      </c>
      <c r="CM77" s="83">
        <f t="shared" si="86"/>
        <v>0</v>
      </c>
      <c r="CN77" s="117">
        <f t="shared" si="87"/>
        <v>0</v>
      </c>
      <c r="CO77" s="117">
        <f t="shared" si="88"/>
        <v>0</v>
      </c>
      <c r="CP77" s="117">
        <f t="shared" si="89"/>
        <v>0</v>
      </c>
      <c r="CQ77" s="117">
        <f t="shared" si="90"/>
        <v>0</v>
      </c>
      <c r="CS77" s="83">
        <f t="shared" si="91"/>
        <v>0</v>
      </c>
      <c r="CT77" s="83">
        <f t="shared" si="92"/>
        <v>0</v>
      </c>
      <c r="CU77" s="83">
        <f t="shared" si="93"/>
        <v>0</v>
      </c>
      <c r="CV77" s="117">
        <v>0</v>
      </c>
      <c r="CW77" s="117">
        <v>0</v>
      </c>
      <c r="CX77" s="117">
        <v>0</v>
      </c>
      <c r="CY77" s="117">
        <v>0</v>
      </c>
    </row>
    <row r="78" spans="1:109" s="2" customFormat="1" ht="21" thickTop="1" thickBot="1" x14ac:dyDescent="0.3">
      <c r="A78" s="189">
        <v>24</v>
      </c>
      <c r="B78" s="181"/>
      <c r="C78" s="93" t="s">
        <v>11</v>
      </c>
      <c r="D78" s="179"/>
      <c r="E78" s="179"/>
      <c r="F78" s="175"/>
      <c r="G78" s="177"/>
      <c r="H78" s="175"/>
      <c r="I78" s="175"/>
      <c r="J78" s="175"/>
      <c r="K78" s="175"/>
      <c r="L78" s="175"/>
      <c r="M78" s="175"/>
      <c r="N78" s="177"/>
      <c r="O78" s="175"/>
      <c r="P78" s="175"/>
      <c r="Q78" s="175"/>
      <c r="R78" s="175"/>
      <c r="S78" s="175"/>
      <c r="T78" s="177"/>
      <c r="U78" s="177"/>
      <c r="V78" s="175"/>
      <c r="W78" s="175"/>
      <c r="X78" s="175"/>
      <c r="Y78" s="175"/>
      <c r="Z78" s="177"/>
      <c r="AA78" s="177"/>
      <c r="AB78" s="175"/>
      <c r="AC78" s="175"/>
      <c r="AD78" s="175"/>
      <c r="AE78" s="175"/>
      <c r="AF78" s="175"/>
      <c r="AG78" s="175"/>
      <c r="AH78" s="184"/>
      <c r="AI78" s="174">
        <f t="shared" ref="AI78" si="96">SUM(D78:AH78)</f>
        <v>0</v>
      </c>
      <c r="AJ78" s="87">
        <f>SUMIF(D80:AH80, "LL", D78:AH78) + SUMIF(D80:AH80, "LL", D79:AH79)</f>
        <v>0</v>
      </c>
      <c r="AK78" s="12"/>
      <c r="AL78" s="18"/>
      <c r="AM78" s="100">
        <f t="shared" ref="AM78" si="97">SUMIF(D80:AH80, "CO", D78:AH78) + SUMIF(D80:AH80, "CO", D79:AH79)</f>
        <v>0</v>
      </c>
      <c r="AN78" s="58">
        <f>SUM(AI78:AM78)</f>
        <v>0</v>
      </c>
      <c r="AO78" s="17"/>
      <c r="AP78" s="75"/>
      <c r="AQ78" s="133"/>
      <c r="AR78" s="45"/>
      <c r="AS78" s="121"/>
      <c r="AT78" s="121"/>
      <c r="AU78" s="121"/>
      <c r="AV78" s="121"/>
      <c r="AW78" s="121"/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CD78" s="83">
        <f t="shared" si="77"/>
        <v>0</v>
      </c>
      <c r="CE78" s="66">
        <f t="shared" si="78"/>
        <v>0</v>
      </c>
      <c r="CF78" s="83">
        <f t="shared" si="79"/>
        <v>0</v>
      </c>
      <c r="CG78" s="65">
        <f t="shared" si="80"/>
        <v>0</v>
      </c>
      <c r="CH78" s="83">
        <f t="shared" si="81"/>
        <v>0</v>
      </c>
      <c r="CI78" s="65">
        <f t="shared" si="82"/>
        <v>0</v>
      </c>
      <c r="CJ78" s="83">
        <f t="shared" si="83"/>
        <v>0</v>
      </c>
      <c r="CK78" s="65">
        <f t="shared" si="84"/>
        <v>0</v>
      </c>
      <c r="CL78" s="83">
        <f t="shared" si="85"/>
        <v>0</v>
      </c>
      <c r="CM78" s="83">
        <f t="shared" si="86"/>
        <v>0</v>
      </c>
      <c r="CN78" s="117">
        <f t="shared" si="87"/>
        <v>0</v>
      </c>
      <c r="CO78" s="117">
        <f t="shared" si="88"/>
        <v>0</v>
      </c>
      <c r="CP78" s="117">
        <f t="shared" si="89"/>
        <v>0</v>
      </c>
      <c r="CQ78" s="117">
        <f t="shared" si="90"/>
        <v>0</v>
      </c>
      <c r="CS78" s="83">
        <f t="shared" si="91"/>
        <v>0</v>
      </c>
      <c r="CT78" s="83">
        <f t="shared" si="92"/>
        <v>0</v>
      </c>
      <c r="CU78" s="83">
        <f t="shared" si="93"/>
        <v>0</v>
      </c>
      <c r="CV78" s="117">
        <v>0</v>
      </c>
      <c r="CW78" s="117">
        <v>0</v>
      </c>
      <c r="CX78" s="117">
        <v>0</v>
      </c>
      <c r="CY78" s="117">
        <v>0</v>
      </c>
    </row>
    <row r="79" spans="1:109" s="2" customFormat="1" ht="20" thickBot="1" x14ac:dyDescent="0.3">
      <c r="A79" s="152"/>
      <c r="B79" s="182"/>
      <c r="C79" s="94" t="s">
        <v>12</v>
      </c>
      <c r="D79" s="180"/>
      <c r="E79" s="180"/>
      <c r="F79" s="176"/>
      <c r="G79" s="178"/>
      <c r="H79" s="176"/>
      <c r="I79" s="176"/>
      <c r="J79" s="176"/>
      <c r="K79" s="176"/>
      <c r="L79" s="176"/>
      <c r="M79" s="176"/>
      <c r="N79" s="178"/>
      <c r="O79" s="176"/>
      <c r="P79" s="176"/>
      <c r="Q79" s="176"/>
      <c r="R79" s="176"/>
      <c r="S79" s="176"/>
      <c r="T79" s="178"/>
      <c r="U79" s="178"/>
      <c r="V79" s="176"/>
      <c r="W79" s="176"/>
      <c r="X79" s="176"/>
      <c r="Y79" s="176"/>
      <c r="Z79" s="178"/>
      <c r="AA79" s="178"/>
      <c r="AB79" s="176"/>
      <c r="AC79" s="176"/>
      <c r="AD79" s="176"/>
      <c r="AE79" s="176"/>
      <c r="AF79" s="176"/>
      <c r="AG79" s="176"/>
      <c r="AH79" s="185"/>
      <c r="AI79" s="169"/>
      <c r="AJ79" s="11"/>
      <c r="AK79" s="10"/>
      <c r="AL79" s="7"/>
      <c r="AM79" s="11"/>
      <c r="AN79" s="59"/>
      <c r="AO79" s="5"/>
      <c r="AP79" s="73"/>
      <c r="AQ79" s="133"/>
      <c r="AR79" s="5"/>
      <c r="AS79" s="121"/>
      <c r="AT79" s="121"/>
      <c r="AU79" s="121"/>
      <c r="AV79" s="121"/>
      <c r="AW79" s="121"/>
      <c r="AX79" s="121"/>
      <c r="AY79" s="121"/>
      <c r="AZ79" s="121"/>
      <c r="BA79" s="121"/>
      <c r="BB79" s="121"/>
      <c r="BC79" s="121"/>
      <c r="BD79" s="121"/>
      <c r="BE79" s="121"/>
      <c r="BF79" s="121"/>
      <c r="BG79" s="121"/>
      <c r="BH79" s="121"/>
      <c r="BI79" s="121"/>
      <c r="BJ79" s="121"/>
      <c r="BK79" s="121"/>
      <c r="BL79" s="121"/>
      <c r="BM79" s="121"/>
      <c r="BN79" s="121"/>
      <c r="CD79" s="83">
        <f t="shared" si="77"/>
        <v>0</v>
      </c>
      <c r="CE79" s="66">
        <f t="shared" si="78"/>
        <v>0</v>
      </c>
      <c r="CF79" s="83">
        <f t="shared" si="79"/>
        <v>0</v>
      </c>
      <c r="CG79" s="65">
        <f t="shared" si="80"/>
        <v>0</v>
      </c>
      <c r="CH79" s="83">
        <f t="shared" si="81"/>
        <v>0</v>
      </c>
      <c r="CI79" s="65">
        <f t="shared" si="82"/>
        <v>0</v>
      </c>
      <c r="CJ79" s="83">
        <f t="shared" si="83"/>
        <v>0</v>
      </c>
      <c r="CK79" s="65">
        <f t="shared" si="84"/>
        <v>0</v>
      </c>
      <c r="CL79" s="83">
        <f t="shared" si="85"/>
        <v>0</v>
      </c>
      <c r="CM79" s="83">
        <f t="shared" si="86"/>
        <v>0</v>
      </c>
      <c r="CN79" s="117">
        <f t="shared" si="87"/>
        <v>0</v>
      </c>
      <c r="CO79" s="117">
        <f t="shared" si="88"/>
        <v>0</v>
      </c>
      <c r="CP79" s="117">
        <f t="shared" si="89"/>
        <v>0</v>
      </c>
      <c r="CQ79" s="117">
        <f t="shared" si="90"/>
        <v>0</v>
      </c>
      <c r="CS79" s="83">
        <f t="shared" si="91"/>
        <v>0</v>
      </c>
      <c r="CT79" s="83">
        <f t="shared" si="92"/>
        <v>0</v>
      </c>
      <c r="CU79" s="83">
        <f t="shared" si="93"/>
        <v>0</v>
      </c>
      <c r="CV79" s="117">
        <v>0</v>
      </c>
      <c r="CW79" s="117">
        <v>0</v>
      </c>
      <c r="CX79" s="117">
        <v>0</v>
      </c>
      <c r="CY79" s="117">
        <v>0</v>
      </c>
    </row>
    <row r="80" spans="1:109" s="2" customFormat="1" ht="20" thickBot="1" x14ac:dyDescent="0.3">
      <c r="A80" s="153"/>
      <c r="B80" s="183"/>
      <c r="C80" s="92" t="s">
        <v>4</v>
      </c>
      <c r="D80" s="95"/>
      <c r="E80" s="95"/>
      <c r="F80" s="95"/>
      <c r="G80" s="96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7"/>
      <c r="AI80" s="36"/>
      <c r="AJ80" s="34"/>
      <c r="AK80" s="29"/>
      <c r="AL80" s="28"/>
      <c r="AM80" s="34"/>
      <c r="AN80" s="60"/>
      <c r="AO80" s="30"/>
      <c r="AP80" s="74"/>
      <c r="AQ80" s="133"/>
      <c r="AR80" s="5"/>
      <c r="AS80" s="121"/>
      <c r="AT80" s="121"/>
      <c r="AU80" s="121"/>
      <c r="AV80" s="121"/>
      <c r="AW80" s="121"/>
      <c r="AX80" s="121"/>
      <c r="AY80" s="121"/>
      <c r="AZ80" s="121"/>
      <c r="BA80" s="121"/>
      <c r="BB80" s="121"/>
      <c r="BC80" s="121"/>
      <c r="BD80" s="121"/>
      <c r="BE80" s="121"/>
      <c r="BF80" s="121"/>
      <c r="BG80" s="121"/>
      <c r="BH80" s="121"/>
      <c r="BI80" s="121"/>
      <c r="BJ80" s="121"/>
      <c r="BK80" s="121"/>
      <c r="BL80" s="121"/>
      <c r="BM80" s="121"/>
      <c r="BN80" s="121"/>
      <c r="CD80" s="83">
        <f t="shared" si="77"/>
        <v>0</v>
      </c>
      <c r="CE80" s="66">
        <f t="shared" si="78"/>
        <v>0</v>
      </c>
      <c r="CF80" s="83">
        <f t="shared" si="79"/>
        <v>0</v>
      </c>
      <c r="CG80" s="65">
        <f t="shared" si="80"/>
        <v>0</v>
      </c>
      <c r="CH80" s="83">
        <f t="shared" si="81"/>
        <v>0</v>
      </c>
      <c r="CI80" s="65">
        <f t="shared" si="82"/>
        <v>0</v>
      </c>
      <c r="CJ80" s="83">
        <f t="shared" si="83"/>
        <v>0</v>
      </c>
      <c r="CK80" s="65">
        <f t="shared" si="84"/>
        <v>0</v>
      </c>
      <c r="CL80" s="83">
        <f t="shared" si="85"/>
        <v>0</v>
      </c>
      <c r="CM80" s="83">
        <f t="shared" si="86"/>
        <v>0</v>
      </c>
      <c r="CN80" s="117">
        <f t="shared" si="87"/>
        <v>0</v>
      </c>
      <c r="CO80" s="117">
        <f t="shared" si="88"/>
        <v>0</v>
      </c>
      <c r="CP80" s="117">
        <f t="shared" si="89"/>
        <v>0</v>
      </c>
      <c r="CQ80" s="117">
        <f t="shared" si="90"/>
        <v>0</v>
      </c>
      <c r="CS80" s="83">
        <f t="shared" si="91"/>
        <v>0</v>
      </c>
      <c r="CT80" s="83">
        <f t="shared" si="92"/>
        <v>0</v>
      </c>
      <c r="CU80" s="83">
        <f t="shared" si="93"/>
        <v>0</v>
      </c>
      <c r="CV80" s="117">
        <v>0</v>
      </c>
      <c r="CW80" s="117">
        <v>0</v>
      </c>
      <c r="CX80" s="117">
        <v>0</v>
      </c>
      <c r="CY80" s="117">
        <v>0</v>
      </c>
    </row>
    <row r="81" spans="1:103" s="2" customFormat="1" ht="23" thickTop="1" thickBot="1" x14ac:dyDescent="0.3">
      <c r="A81" s="151">
        <v>25</v>
      </c>
      <c r="B81" s="186"/>
      <c r="C81" s="98" t="s">
        <v>11</v>
      </c>
      <c r="D81" s="179"/>
      <c r="E81" s="179"/>
      <c r="F81" s="175"/>
      <c r="G81" s="177"/>
      <c r="H81" s="175"/>
      <c r="I81" s="175"/>
      <c r="J81" s="175"/>
      <c r="K81" s="175"/>
      <c r="L81" s="175"/>
      <c r="M81" s="175"/>
      <c r="N81" s="177"/>
      <c r="O81" s="175"/>
      <c r="P81" s="175"/>
      <c r="Q81" s="175"/>
      <c r="R81" s="175"/>
      <c r="S81" s="175"/>
      <c r="T81" s="177"/>
      <c r="U81" s="177"/>
      <c r="V81" s="175"/>
      <c r="W81" s="175"/>
      <c r="X81" s="175"/>
      <c r="Y81" s="175"/>
      <c r="Z81" s="177"/>
      <c r="AA81" s="177"/>
      <c r="AB81" s="175"/>
      <c r="AC81" s="175"/>
      <c r="AD81" s="175"/>
      <c r="AE81" s="175"/>
      <c r="AF81" s="175"/>
      <c r="AG81" s="175"/>
      <c r="AH81" s="184"/>
      <c r="AI81" s="168">
        <f t="shared" ref="AI81" si="98">SUM(D81:AH81)</f>
        <v>0</v>
      </c>
      <c r="AJ81" s="86">
        <f>SUMIF(D83:AH83, "LL", D81:AH81) + SUMIF(D83:AH83, "LL", D82:AH82)</f>
        <v>0</v>
      </c>
      <c r="AK81" s="12"/>
      <c r="AL81" s="18"/>
      <c r="AM81" s="99">
        <f t="shared" ref="AM81" si="99">SUMIF(D83:AH83, "CO", D81:AH81) + SUMIF(D83:AH83, "CO", D82:AH82)</f>
        <v>0</v>
      </c>
      <c r="AN81" s="58">
        <f>SUM(AI81:AM81)</f>
        <v>0</v>
      </c>
      <c r="AO81" s="17"/>
      <c r="AP81" s="75"/>
      <c r="AQ81" s="133"/>
      <c r="AR81" s="6"/>
      <c r="AS81" s="121"/>
      <c r="AT81" s="121"/>
      <c r="AU81" s="121"/>
      <c r="AV81" s="121"/>
      <c r="AW81" s="121"/>
      <c r="AX81" s="121"/>
      <c r="AY81" s="121"/>
      <c r="AZ81" s="121"/>
      <c r="BA81" s="121"/>
      <c r="BB81" s="121"/>
      <c r="BC81" s="121"/>
      <c r="BD81" s="121"/>
      <c r="BE81" s="121"/>
      <c r="BF81" s="121"/>
      <c r="BG81" s="121"/>
      <c r="BH81" s="121"/>
      <c r="BI81" s="121"/>
      <c r="BJ81" s="121"/>
      <c r="BK81" s="121"/>
      <c r="BL81" s="121"/>
      <c r="BM81" s="121"/>
      <c r="BN81" s="121"/>
      <c r="CD81" s="83">
        <f t="shared" si="77"/>
        <v>0</v>
      </c>
      <c r="CE81" s="66">
        <f t="shared" si="78"/>
        <v>0</v>
      </c>
      <c r="CF81" s="83">
        <f t="shared" si="79"/>
        <v>0</v>
      </c>
      <c r="CG81" s="65">
        <f t="shared" si="80"/>
        <v>0</v>
      </c>
      <c r="CH81" s="83">
        <f t="shared" si="81"/>
        <v>0</v>
      </c>
      <c r="CI81" s="65">
        <f t="shared" si="82"/>
        <v>0</v>
      </c>
      <c r="CJ81" s="83">
        <f t="shared" si="83"/>
        <v>0</v>
      </c>
      <c r="CK81" s="65">
        <f t="shared" si="84"/>
        <v>0</v>
      </c>
      <c r="CL81" s="83">
        <f t="shared" si="85"/>
        <v>0</v>
      </c>
      <c r="CM81" s="83">
        <f t="shared" si="86"/>
        <v>0</v>
      </c>
      <c r="CN81" s="117">
        <f t="shared" si="87"/>
        <v>0</v>
      </c>
      <c r="CO81" s="117">
        <f t="shared" si="88"/>
        <v>0</v>
      </c>
      <c r="CP81" s="117">
        <f t="shared" si="89"/>
        <v>0</v>
      </c>
      <c r="CQ81" s="117">
        <f t="shared" si="90"/>
        <v>0</v>
      </c>
      <c r="CS81" s="83">
        <f t="shared" si="91"/>
        <v>0</v>
      </c>
      <c r="CT81" s="83">
        <f t="shared" si="92"/>
        <v>0</v>
      </c>
      <c r="CU81" s="83">
        <f t="shared" si="93"/>
        <v>0</v>
      </c>
      <c r="CV81" s="117">
        <v>0</v>
      </c>
      <c r="CW81" s="117">
        <v>0</v>
      </c>
      <c r="CX81" s="117">
        <v>0</v>
      </c>
      <c r="CY81" s="117">
        <v>0</v>
      </c>
    </row>
    <row r="82" spans="1:103" s="2" customFormat="1" ht="20" thickBot="1" x14ac:dyDescent="0.3">
      <c r="A82" s="152"/>
      <c r="B82" s="182"/>
      <c r="C82" s="94" t="s">
        <v>12</v>
      </c>
      <c r="D82" s="180"/>
      <c r="E82" s="180"/>
      <c r="F82" s="176"/>
      <c r="G82" s="178"/>
      <c r="H82" s="176"/>
      <c r="I82" s="176"/>
      <c r="J82" s="176"/>
      <c r="K82" s="176"/>
      <c r="L82" s="176"/>
      <c r="M82" s="176"/>
      <c r="N82" s="178"/>
      <c r="O82" s="176"/>
      <c r="P82" s="176"/>
      <c r="Q82" s="176"/>
      <c r="R82" s="176"/>
      <c r="S82" s="176"/>
      <c r="T82" s="178"/>
      <c r="U82" s="178"/>
      <c r="V82" s="176"/>
      <c r="W82" s="176"/>
      <c r="X82" s="176"/>
      <c r="Y82" s="176"/>
      <c r="Z82" s="178"/>
      <c r="AA82" s="178"/>
      <c r="AB82" s="176"/>
      <c r="AC82" s="176"/>
      <c r="AD82" s="176"/>
      <c r="AE82" s="176"/>
      <c r="AF82" s="176"/>
      <c r="AG82" s="176"/>
      <c r="AH82" s="185"/>
      <c r="AI82" s="169"/>
      <c r="AJ82" s="11"/>
      <c r="AK82" s="10"/>
      <c r="AL82" s="7"/>
      <c r="AM82" s="11"/>
      <c r="AN82" s="59"/>
      <c r="AO82" s="5"/>
      <c r="AP82" s="73"/>
      <c r="AQ82" s="133"/>
      <c r="AR82" s="5"/>
      <c r="AS82" s="121"/>
      <c r="AT82" s="121"/>
      <c r="AU82" s="121"/>
      <c r="AV82" s="121"/>
      <c r="AW82" s="121"/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CD82" s="83">
        <f t="shared" si="77"/>
        <v>0</v>
      </c>
      <c r="CE82" s="66">
        <f t="shared" si="78"/>
        <v>0</v>
      </c>
      <c r="CF82" s="83">
        <f t="shared" si="79"/>
        <v>0</v>
      </c>
      <c r="CG82" s="65">
        <f t="shared" si="80"/>
        <v>0</v>
      </c>
      <c r="CH82" s="83">
        <f t="shared" si="81"/>
        <v>0</v>
      </c>
      <c r="CI82" s="65">
        <f t="shared" si="82"/>
        <v>0</v>
      </c>
      <c r="CJ82" s="83">
        <f t="shared" si="83"/>
        <v>0</v>
      </c>
      <c r="CK82" s="65">
        <f t="shared" si="84"/>
        <v>0</v>
      </c>
      <c r="CL82" s="83">
        <f t="shared" si="85"/>
        <v>0</v>
      </c>
      <c r="CM82" s="83">
        <f t="shared" si="86"/>
        <v>0</v>
      </c>
      <c r="CN82" s="117">
        <f t="shared" si="87"/>
        <v>0</v>
      </c>
      <c r="CO82" s="117">
        <f t="shared" si="88"/>
        <v>0</v>
      </c>
      <c r="CP82" s="117">
        <f t="shared" si="89"/>
        <v>0</v>
      </c>
      <c r="CQ82" s="117">
        <f t="shared" si="90"/>
        <v>0</v>
      </c>
      <c r="CS82" s="83">
        <f t="shared" si="91"/>
        <v>0</v>
      </c>
      <c r="CT82" s="83">
        <f t="shared" si="92"/>
        <v>0</v>
      </c>
      <c r="CU82" s="83">
        <f t="shared" si="93"/>
        <v>0</v>
      </c>
      <c r="CV82" s="117">
        <v>0</v>
      </c>
      <c r="CW82" s="117">
        <v>0</v>
      </c>
      <c r="CX82" s="117">
        <v>0</v>
      </c>
      <c r="CY82" s="117">
        <v>0</v>
      </c>
    </row>
    <row r="83" spans="1:103" s="2" customFormat="1" ht="20" thickBot="1" x14ac:dyDescent="0.3">
      <c r="A83" s="153"/>
      <c r="B83" s="183"/>
      <c r="C83" s="92" t="s">
        <v>4</v>
      </c>
      <c r="D83" s="95"/>
      <c r="E83" s="95"/>
      <c r="F83" s="95"/>
      <c r="G83" s="96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7"/>
      <c r="AI83" s="36"/>
      <c r="AJ83" s="34"/>
      <c r="AK83" s="29"/>
      <c r="AL83" s="28"/>
      <c r="AM83" s="34"/>
      <c r="AN83" s="60"/>
      <c r="AO83" s="30"/>
      <c r="AP83" s="74"/>
      <c r="AQ83" s="133"/>
      <c r="AR83" s="5"/>
      <c r="AS83" s="121"/>
      <c r="AT83" s="121"/>
      <c r="AU83" s="121"/>
      <c r="AV83" s="121"/>
      <c r="AW83" s="121"/>
      <c r="AX83" s="121"/>
      <c r="AY83" s="121"/>
      <c r="AZ83" s="121"/>
      <c r="BA83" s="121"/>
      <c r="BB83" s="121"/>
      <c r="BC83" s="121"/>
      <c r="BD83" s="121"/>
      <c r="BE83" s="121"/>
      <c r="BF83" s="121"/>
      <c r="BG83" s="121"/>
      <c r="BH83" s="121"/>
      <c r="BI83" s="121"/>
      <c r="BJ83" s="121"/>
      <c r="BK83" s="121"/>
      <c r="BL83" s="121"/>
      <c r="BM83" s="121"/>
      <c r="BN83" s="121"/>
      <c r="CD83" s="83">
        <f t="shared" si="77"/>
        <v>0</v>
      </c>
      <c r="CE83" s="66">
        <f t="shared" si="78"/>
        <v>0</v>
      </c>
      <c r="CF83" s="83">
        <f t="shared" si="79"/>
        <v>0</v>
      </c>
      <c r="CG83" s="65">
        <f t="shared" si="80"/>
        <v>0</v>
      </c>
      <c r="CH83" s="83">
        <f t="shared" si="81"/>
        <v>0</v>
      </c>
      <c r="CI83" s="65">
        <f t="shared" si="82"/>
        <v>0</v>
      </c>
      <c r="CJ83" s="83">
        <f t="shared" si="83"/>
        <v>0</v>
      </c>
      <c r="CK83" s="65">
        <f t="shared" si="84"/>
        <v>0</v>
      </c>
      <c r="CL83" s="83">
        <f t="shared" si="85"/>
        <v>0</v>
      </c>
      <c r="CM83" s="83">
        <f t="shared" si="86"/>
        <v>0</v>
      </c>
      <c r="CN83" s="117">
        <f t="shared" si="87"/>
        <v>0</v>
      </c>
      <c r="CO83" s="117">
        <f t="shared" si="88"/>
        <v>0</v>
      </c>
      <c r="CP83" s="117">
        <f t="shared" si="89"/>
        <v>0</v>
      </c>
      <c r="CQ83" s="117">
        <f t="shared" si="90"/>
        <v>0</v>
      </c>
      <c r="CS83" s="83">
        <f t="shared" si="91"/>
        <v>0</v>
      </c>
      <c r="CT83" s="83">
        <f t="shared" si="92"/>
        <v>0</v>
      </c>
      <c r="CU83" s="83">
        <f t="shared" si="93"/>
        <v>0</v>
      </c>
      <c r="CV83" s="117">
        <v>0</v>
      </c>
      <c r="CW83" s="117">
        <v>0</v>
      </c>
      <c r="CX83" s="117">
        <v>0</v>
      </c>
      <c r="CY83" s="117">
        <v>0</v>
      </c>
    </row>
    <row r="84" spans="1:103" s="2" customFormat="1" ht="21" thickTop="1" thickBot="1" x14ac:dyDescent="0.3">
      <c r="A84" s="151">
        <v>26</v>
      </c>
      <c r="B84" s="186"/>
      <c r="C84" s="98" t="s">
        <v>11</v>
      </c>
      <c r="D84" s="179"/>
      <c r="E84" s="179"/>
      <c r="F84" s="175"/>
      <c r="G84" s="177"/>
      <c r="H84" s="175"/>
      <c r="I84" s="175"/>
      <c r="J84" s="175"/>
      <c r="K84" s="175"/>
      <c r="L84" s="175"/>
      <c r="M84" s="175"/>
      <c r="N84" s="177"/>
      <c r="O84" s="175"/>
      <c r="P84" s="175"/>
      <c r="Q84" s="175"/>
      <c r="R84" s="175"/>
      <c r="S84" s="175"/>
      <c r="T84" s="177"/>
      <c r="U84" s="177"/>
      <c r="V84" s="175"/>
      <c r="W84" s="175"/>
      <c r="X84" s="175"/>
      <c r="Y84" s="175"/>
      <c r="Z84" s="177"/>
      <c r="AA84" s="177"/>
      <c r="AB84" s="175"/>
      <c r="AC84" s="175"/>
      <c r="AD84" s="175"/>
      <c r="AE84" s="175"/>
      <c r="AF84" s="175"/>
      <c r="AG84" s="175"/>
      <c r="AH84" s="184"/>
      <c r="AI84" s="174">
        <f t="shared" ref="AI84" si="100">SUM(D84:AH84)</f>
        <v>0</v>
      </c>
      <c r="AJ84" s="87">
        <f>SUMIF(D86:AH86, "LL", D84:AH84) + SUMIF(D86:AH86, "LL", D85:AH85)</f>
        <v>0</v>
      </c>
      <c r="AK84" s="18"/>
      <c r="AL84" s="18"/>
      <c r="AM84" s="100">
        <f t="shared" ref="AM84" si="101">SUMIF(D86:AH86, "CO", D84:AH84) + SUMIF(D86:AH86, "CO", D85:AH85)</f>
        <v>0</v>
      </c>
      <c r="AN84" s="58">
        <f>SUM(AI84:AM84)</f>
        <v>0</v>
      </c>
      <c r="AO84" s="17"/>
      <c r="AP84" s="76"/>
      <c r="AQ84" s="133"/>
      <c r="AR84" s="46"/>
      <c r="AS84" s="121"/>
      <c r="AT84" s="121"/>
      <c r="AU84" s="121"/>
      <c r="AV84" s="121"/>
      <c r="AW84" s="121"/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CD84" s="83">
        <f t="shared" si="77"/>
        <v>0</v>
      </c>
      <c r="CE84" s="66">
        <f t="shared" si="78"/>
        <v>0</v>
      </c>
      <c r="CF84" s="83">
        <f t="shared" si="79"/>
        <v>0</v>
      </c>
      <c r="CG84" s="65">
        <f t="shared" si="80"/>
        <v>0</v>
      </c>
      <c r="CH84" s="83">
        <f t="shared" si="81"/>
        <v>0</v>
      </c>
      <c r="CI84" s="65">
        <f t="shared" si="82"/>
        <v>0</v>
      </c>
      <c r="CJ84" s="83">
        <f t="shared" si="83"/>
        <v>0</v>
      </c>
      <c r="CK84" s="65">
        <f t="shared" si="84"/>
        <v>0</v>
      </c>
      <c r="CL84" s="83">
        <f t="shared" si="85"/>
        <v>0</v>
      </c>
      <c r="CM84" s="83">
        <f t="shared" si="86"/>
        <v>0</v>
      </c>
      <c r="CN84" s="117">
        <f t="shared" si="87"/>
        <v>0</v>
      </c>
      <c r="CO84" s="117">
        <f t="shared" si="88"/>
        <v>0</v>
      </c>
      <c r="CP84" s="117">
        <f t="shared" si="89"/>
        <v>0</v>
      </c>
      <c r="CQ84" s="117">
        <f t="shared" si="90"/>
        <v>0</v>
      </c>
      <c r="CS84" s="83">
        <f t="shared" si="91"/>
        <v>0</v>
      </c>
      <c r="CT84" s="83">
        <f t="shared" si="92"/>
        <v>0</v>
      </c>
      <c r="CU84" s="83">
        <f t="shared" si="93"/>
        <v>0</v>
      </c>
      <c r="CV84" s="117">
        <v>0</v>
      </c>
      <c r="CW84" s="117">
        <v>0</v>
      </c>
      <c r="CX84" s="117">
        <v>0</v>
      </c>
      <c r="CY84" s="117">
        <v>0</v>
      </c>
    </row>
    <row r="85" spans="1:103" s="2" customFormat="1" ht="20" thickBot="1" x14ac:dyDescent="0.3">
      <c r="A85" s="152"/>
      <c r="B85" s="182"/>
      <c r="C85" s="94" t="s">
        <v>12</v>
      </c>
      <c r="D85" s="180"/>
      <c r="E85" s="180"/>
      <c r="F85" s="176"/>
      <c r="G85" s="178"/>
      <c r="H85" s="176"/>
      <c r="I85" s="176"/>
      <c r="J85" s="176"/>
      <c r="K85" s="176"/>
      <c r="L85" s="176"/>
      <c r="M85" s="176"/>
      <c r="N85" s="178"/>
      <c r="O85" s="176"/>
      <c r="P85" s="176"/>
      <c r="Q85" s="176"/>
      <c r="R85" s="176"/>
      <c r="S85" s="176"/>
      <c r="T85" s="178"/>
      <c r="U85" s="178"/>
      <c r="V85" s="176"/>
      <c r="W85" s="176"/>
      <c r="X85" s="176"/>
      <c r="Y85" s="176"/>
      <c r="Z85" s="178"/>
      <c r="AA85" s="178"/>
      <c r="AB85" s="176"/>
      <c r="AC85" s="176"/>
      <c r="AD85" s="176"/>
      <c r="AE85" s="176"/>
      <c r="AF85" s="176"/>
      <c r="AG85" s="176"/>
      <c r="AH85" s="185"/>
      <c r="AI85" s="169"/>
      <c r="AJ85" s="11"/>
      <c r="AK85" s="7"/>
      <c r="AL85" s="7"/>
      <c r="AM85" s="11"/>
      <c r="AN85" s="59"/>
      <c r="AO85" s="5"/>
      <c r="AP85" s="73"/>
      <c r="AQ85" s="133"/>
      <c r="AR85" s="5"/>
      <c r="AS85" s="121"/>
      <c r="AT85" s="121"/>
      <c r="AU85" s="121"/>
      <c r="AV85" s="121"/>
      <c r="AW85" s="121"/>
      <c r="AX85" s="121"/>
      <c r="AY85" s="121"/>
      <c r="AZ85" s="121"/>
      <c r="BA85" s="121"/>
      <c r="BB85" s="121"/>
      <c r="BC85" s="121"/>
      <c r="BD85" s="121"/>
      <c r="BE85" s="121"/>
      <c r="BF85" s="121"/>
      <c r="BG85" s="121"/>
      <c r="BH85" s="121"/>
      <c r="BI85" s="121"/>
      <c r="BJ85" s="121"/>
      <c r="BK85" s="121"/>
      <c r="BL85" s="121"/>
      <c r="BM85" s="121"/>
      <c r="BN85" s="121"/>
      <c r="CD85" s="83">
        <f t="shared" si="77"/>
        <v>0</v>
      </c>
      <c r="CE85" s="66">
        <f t="shared" si="78"/>
        <v>0</v>
      </c>
      <c r="CF85" s="83">
        <f t="shared" si="79"/>
        <v>0</v>
      </c>
      <c r="CG85" s="65">
        <f t="shared" si="80"/>
        <v>0</v>
      </c>
      <c r="CH85" s="83">
        <f t="shared" si="81"/>
        <v>0</v>
      </c>
      <c r="CI85" s="65">
        <f t="shared" si="82"/>
        <v>0</v>
      </c>
      <c r="CJ85" s="83">
        <f t="shared" si="83"/>
        <v>0</v>
      </c>
      <c r="CK85" s="65">
        <f t="shared" si="84"/>
        <v>0</v>
      </c>
      <c r="CL85" s="83">
        <f t="shared" si="85"/>
        <v>0</v>
      </c>
      <c r="CM85" s="83">
        <f t="shared" si="86"/>
        <v>0</v>
      </c>
      <c r="CN85" s="117">
        <f t="shared" si="87"/>
        <v>0</v>
      </c>
      <c r="CO85" s="117">
        <f t="shared" si="88"/>
        <v>0</v>
      </c>
      <c r="CP85" s="117">
        <f t="shared" si="89"/>
        <v>0</v>
      </c>
      <c r="CQ85" s="117">
        <f t="shared" si="90"/>
        <v>0</v>
      </c>
      <c r="CS85" s="83">
        <f t="shared" si="91"/>
        <v>0</v>
      </c>
      <c r="CT85" s="83">
        <f t="shared" si="92"/>
        <v>0</v>
      </c>
      <c r="CU85" s="83">
        <f t="shared" si="93"/>
        <v>0</v>
      </c>
      <c r="CV85" s="117">
        <v>0</v>
      </c>
      <c r="CW85" s="117">
        <v>0</v>
      </c>
      <c r="CX85" s="117">
        <v>0</v>
      </c>
      <c r="CY85" s="117">
        <v>0</v>
      </c>
    </row>
    <row r="86" spans="1:103" s="2" customFormat="1" ht="20" thickBot="1" x14ac:dyDescent="0.3">
      <c r="A86" s="153"/>
      <c r="B86" s="183"/>
      <c r="C86" s="92" t="s">
        <v>4</v>
      </c>
      <c r="D86" s="95"/>
      <c r="E86" s="95"/>
      <c r="F86" s="95"/>
      <c r="G86" s="96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7"/>
      <c r="AI86" s="36"/>
      <c r="AJ86" s="34"/>
      <c r="AK86" s="28"/>
      <c r="AL86" s="28"/>
      <c r="AM86" s="34"/>
      <c r="AN86" s="60"/>
      <c r="AO86" s="30"/>
      <c r="AP86" s="74"/>
      <c r="AQ86" s="133"/>
      <c r="AR86" s="5"/>
      <c r="AS86" s="121"/>
      <c r="AT86" s="121"/>
      <c r="AU86" s="121"/>
      <c r="AV86" s="121"/>
      <c r="AW86" s="121"/>
      <c r="AX86" s="121"/>
      <c r="AY86" s="121"/>
      <c r="AZ86" s="121"/>
      <c r="BA86" s="121"/>
      <c r="BB86" s="121"/>
      <c r="BC86" s="121"/>
      <c r="BD86" s="121"/>
      <c r="BE86" s="121"/>
      <c r="BF86" s="121"/>
      <c r="BG86" s="121"/>
      <c r="BH86" s="121"/>
      <c r="BI86" s="121"/>
      <c r="BJ86" s="121"/>
      <c r="BK86" s="121"/>
      <c r="BL86" s="121"/>
      <c r="BM86" s="121"/>
      <c r="BN86" s="121"/>
      <c r="CD86" s="83">
        <f t="shared" si="77"/>
        <v>0</v>
      </c>
      <c r="CE86" s="66">
        <f t="shared" si="78"/>
        <v>0</v>
      </c>
      <c r="CF86" s="83">
        <f t="shared" si="79"/>
        <v>0</v>
      </c>
      <c r="CG86" s="65">
        <f t="shared" si="80"/>
        <v>0</v>
      </c>
      <c r="CH86" s="83">
        <f t="shared" si="81"/>
        <v>0</v>
      </c>
      <c r="CI86" s="65">
        <f t="shared" si="82"/>
        <v>0</v>
      </c>
      <c r="CJ86" s="83">
        <f t="shared" si="83"/>
        <v>0</v>
      </c>
      <c r="CK86" s="65">
        <f t="shared" si="84"/>
        <v>0</v>
      </c>
      <c r="CL86" s="83">
        <f t="shared" si="85"/>
        <v>0</v>
      </c>
      <c r="CM86" s="83">
        <f t="shared" si="86"/>
        <v>0</v>
      </c>
      <c r="CN86" s="117">
        <f t="shared" si="87"/>
        <v>0</v>
      </c>
      <c r="CO86" s="117">
        <f t="shared" si="88"/>
        <v>0</v>
      </c>
      <c r="CP86" s="117">
        <f t="shared" si="89"/>
        <v>0</v>
      </c>
      <c r="CQ86" s="117">
        <f t="shared" si="90"/>
        <v>0</v>
      </c>
      <c r="CS86" s="83">
        <f t="shared" si="91"/>
        <v>0</v>
      </c>
      <c r="CT86" s="83">
        <f t="shared" si="92"/>
        <v>0</v>
      </c>
      <c r="CU86" s="83">
        <f t="shared" si="93"/>
        <v>0</v>
      </c>
      <c r="CV86" s="117">
        <v>0</v>
      </c>
      <c r="CW86" s="117">
        <v>0</v>
      </c>
      <c r="CX86" s="117">
        <v>0</v>
      </c>
      <c r="CY86" s="117">
        <v>0</v>
      </c>
    </row>
    <row r="87" spans="1:103" s="2" customFormat="1" ht="21" thickTop="1" thickBot="1" x14ac:dyDescent="0.3">
      <c r="A87" s="202">
        <v>27</v>
      </c>
      <c r="B87" s="148"/>
      <c r="C87" s="91" t="s">
        <v>11</v>
      </c>
      <c r="D87" s="166"/>
      <c r="E87" s="166"/>
      <c r="F87" s="160"/>
      <c r="G87" s="164"/>
      <c r="H87" s="162"/>
      <c r="I87" s="162"/>
      <c r="J87" s="160"/>
      <c r="K87" s="160"/>
      <c r="L87" s="160"/>
      <c r="M87" s="160"/>
      <c r="N87" s="164"/>
      <c r="O87" s="162"/>
      <c r="P87" s="162"/>
      <c r="Q87" s="160"/>
      <c r="R87" s="160"/>
      <c r="S87" s="160"/>
      <c r="T87" s="172"/>
      <c r="U87" s="164"/>
      <c r="V87" s="162"/>
      <c r="W87" s="162"/>
      <c r="X87" s="160"/>
      <c r="Y87" s="160"/>
      <c r="Z87" s="164"/>
      <c r="AA87" s="164"/>
      <c r="AB87" s="160"/>
      <c r="AC87" s="162"/>
      <c r="AD87" s="162"/>
      <c r="AE87" s="162"/>
      <c r="AF87" s="162"/>
      <c r="AG87" s="160"/>
      <c r="AH87" s="170"/>
      <c r="AI87" s="168">
        <f t="shared" ref="AI87" si="102">SUM(D87:AH87)</f>
        <v>0</v>
      </c>
      <c r="AJ87" s="86">
        <f>SUMIF(D89:AH89, "LL", D87:AH87) + SUMIF(D89:AH89, "LL", D88:AH88)</f>
        <v>0</v>
      </c>
      <c r="AK87" s="18"/>
      <c r="AL87" s="26"/>
      <c r="AM87" s="99">
        <f t="shared" ref="AM87" si="103">SUMIF(D89:AH89, "CO", D87:AH87) + SUMIF(D89:AH89, "CO", D88:AH88)</f>
        <v>0</v>
      </c>
      <c r="AN87" s="61">
        <f>SUM(AI87:AM87)</f>
        <v>0</v>
      </c>
      <c r="AO87" s="27"/>
      <c r="AP87" s="77"/>
      <c r="AQ87" s="133"/>
      <c r="AR87" s="5"/>
      <c r="AS87" s="121"/>
      <c r="AT87" s="121"/>
      <c r="AU87" s="121"/>
      <c r="AV87" s="121"/>
      <c r="AW87" s="121"/>
      <c r="AX87" s="121"/>
      <c r="AY87" s="121"/>
      <c r="AZ87" s="121"/>
      <c r="BA87" s="121"/>
      <c r="BB87" s="121"/>
      <c r="BC87" s="121"/>
      <c r="BD87" s="121"/>
      <c r="BE87" s="121"/>
      <c r="BF87" s="121"/>
      <c r="BG87" s="121"/>
      <c r="BH87" s="121"/>
      <c r="BI87" s="121"/>
      <c r="BJ87" s="121"/>
      <c r="BK87" s="121"/>
      <c r="BL87" s="121"/>
      <c r="BM87" s="121"/>
      <c r="BN87" s="121"/>
      <c r="CD87" s="83">
        <f t="shared" si="77"/>
        <v>0</v>
      </c>
      <c r="CE87" s="66">
        <f t="shared" si="78"/>
        <v>0</v>
      </c>
      <c r="CF87" s="83">
        <f t="shared" si="79"/>
        <v>0</v>
      </c>
      <c r="CG87" s="65">
        <f t="shared" si="80"/>
        <v>0</v>
      </c>
      <c r="CH87" s="83">
        <f t="shared" si="81"/>
        <v>0</v>
      </c>
      <c r="CI87" s="65">
        <f t="shared" si="82"/>
        <v>0</v>
      </c>
      <c r="CJ87" s="83">
        <f t="shared" si="83"/>
        <v>0</v>
      </c>
      <c r="CK87" s="65">
        <f t="shared" si="84"/>
        <v>0</v>
      </c>
      <c r="CL87" s="83">
        <f t="shared" si="85"/>
        <v>0</v>
      </c>
      <c r="CM87" s="83">
        <f t="shared" si="86"/>
        <v>0</v>
      </c>
      <c r="CN87" s="117">
        <f t="shared" si="87"/>
        <v>0</v>
      </c>
      <c r="CO87" s="117">
        <f t="shared" si="88"/>
        <v>0</v>
      </c>
      <c r="CP87" s="117">
        <f t="shared" si="89"/>
        <v>0</v>
      </c>
      <c r="CQ87" s="117">
        <f t="shared" si="90"/>
        <v>0</v>
      </c>
      <c r="CS87" s="83">
        <f t="shared" si="91"/>
        <v>0</v>
      </c>
      <c r="CT87" s="83">
        <f t="shared" si="92"/>
        <v>0</v>
      </c>
      <c r="CU87" s="83">
        <f t="shared" si="93"/>
        <v>0</v>
      </c>
      <c r="CV87" s="117">
        <v>0</v>
      </c>
      <c r="CW87" s="117">
        <v>0</v>
      </c>
      <c r="CX87" s="117">
        <v>0</v>
      </c>
      <c r="CY87" s="117">
        <v>0</v>
      </c>
    </row>
    <row r="88" spans="1:103" s="2" customFormat="1" ht="22" thickBot="1" x14ac:dyDescent="0.3">
      <c r="A88" s="203"/>
      <c r="B88" s="149"/>
      <c r="C88" s="3" t="s">
        <v>12</v>
      </c>
      <c r="D88" s="167"/>
      <c r="E88" s="167"/>
      <c r="F88" s="161"/>
      <c r="G88" s="165"/>
      <c r="H88" s="163"/>
      <c r="I88" s="163"/>
      <c r="J88" s="161"/>
      <c r="K88" s="161"/>
      <c r="L88" s="161"/>
      <c r="M88" s="161"/>
      <c r="N88" s="165"/>
      <c r="O88" s="163"/>
      <c r="P88" s="163"/>
      <c r="Q88" s="161"/>
      <c r="R88" s="161"/>
      <c r="S88" s="161"/>
      <c r="T88" s="173"/>
      <c r="U88" s="165"/>
      <c r="V88" s="163"/>
      <c r="W88" s="163"/>
      <c r="X88" s="161"/>
      <c r="Y88" s="161"/>
      <c r="Z88" s="165"/>
      <c r="AA88" s="165"/>
      <c r="AB88" s="161"/>
      <c r="AC88" s="163"/>
      <c r="AD88" s="163"/>
      <c r="AE88" s="163"/>
      <c r="AF88" s="163"/>
      <c r="AG88" s="161"/>
      <c r="AH88" s="171"/>
      <c r="AI88" s="169"/>
      <c r="AJ88" s="11"/>
      <c r="AK88" s="7"/>
      <c r="AL88" s="7"/>
      <c r="AM88" s="11"/>
      <c r="AN88" s="59"/>
      <c r="AO88" s="5"/>
      <c r="AP88" s="78"/>
      <c r="AQ88" s="133"/>
      <c r="AR88" s="5"/>
      <c r="AS88" s="121"/>
      <c r="AT88" s="121"/>
      <c r="AU88" s="121"/>
      <c r="AV88" s="121"/>
      <c r="AW88" s="121"/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CD88" s="83">
        <f t="shared" si="77"/>
        <v>0</v>
      </c>
      <c r="CE88" s="66">
        <f t="shared" si="78"/>
        <v>0</v>
      </c>
      <c r="CF88" s="83">
        <f t="shared" si="79"/>
        <v>0</v>
      </c>
      <c r="CG88" s="65">
        <f t="shared" si="80"/>
        <v>0</v>
      </c>
      <c r="CH88" s="83">
        <f t="shared" si="81"/>
        <v>0</v>
      </c>
      <c r="CI88" s="65">
        <f t="shared" si="82"/>
        <v>0</v>
      </c>
      <c r="CJ88" s="83">
        <f t="shared" si="83"/>
        <v>0</v>
      </c>
      <c r="CK88" s="65">
        <f t="shared" si="84"/>
        <v>0</v>
      </c>
      <c r="CL88" s="83">
        <f t="shared" si="85"/>
        <v>0</v>
      </c>
      <c r="CM88" s="83">
        <f t="shared" si="86"/>
        <v>0</v>
      </c>
      <c r="CN88" s="117">
        <f t="shared" si="87"/>
        <v>0</v>
      </c>
      <c r="CO88" s="117">
        <f t="shared" si="88"/>
        <v>0</v>
      </c>
      <c r="CP88" s="117">
        <f t="shared" si="89"/>
        <v>0</v>
      </c>
      <c r="CQ88" s="117">
        <f t="shared" si="90"/>
        <v>0</v>
      </c>
      <c r="CS88" s="83">
        <f t="shared" si="91"/>
        <v>0</v>
      </c>
      <c r="CT88" s="83">
        <f t="shared" si="92"/>
        <v>0</v>
      </c>
      <c r="CU88" s="83">
        <f t="shared" si="93"/>
        <v>0</v>
      </c>
      <c r="CV88" s="117">
        <v>0</v>
      </c>
      <c r="CW88" s="117">
        <v>0</v>
      </c>
      <c r="CX88" s="117">
        <v>0</v>
      </c>
      <c r="CY88" s="117">
        <v>0</v>
      </c>
    </row>
    <row r="89" spans="1:103" s="2" customFormat="1" ht="20" thickBot="1" x14ac:dyDescent="0.3">
      <c r="A89" s="204"/>
      <c r="B89" s="150"/>
      <c r="C89" s="92" t="s">
        <v>4</v>
      </c>
      <c r="D89" s="88"/>
      <c r="E89" s="88"/>
      <c r="F89" s="88"/>
      <c r="G89" s="89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90"/>
      <c r="AI89" s="36"/>
      <c r="AJ89" s="34"/>
      <c r="AK89" s="28"/>
      <c r="AL89" s="28"/>
      <c r="AM89" s="34"/>
      <c r="AN89" s="60"/>
      <c r="AO89" s="30"/>
      <c r="AP89" s="74"/>
      <c r="AQ89" s="133"/>
      <c r="AR89" s="5"/>
      <c r="AS89" s="121"/>
      <c r="AT89" s="121"/>
      <c r="AU89" s="121"/>
      <c r="AV89" s="121"/>
      <c r="AW89" s="121"/>
      <c r="AX89" s="121"/>
      <c r="AY89" s="121"/>
      <c r="AZ89" s="121"/>
      <c r="BA89" s="121"/>
      <c r="BB89" s="121"/>
      <c r="BC89" s="121"/>
      <c r="BD89" s="121"/>
      <c r="BE89" s="121"/>
      <c r="BF89" s="121"/>
      <c r="BG89" s="121"/>
      <c r="BH89" s="121"/>
      <c r="BI89" s="121"/>
      <c r="BJ89" s="121"/>
      <c r="BK89" s="121"/>
      <c r="BL89" s="121"/>
      <c r="BM89" s="121"/>
      <c r="BN89" s="121"/>
      <c r="CD89" s="83">
        <f t="shared" si="77"/>
        <v>0</v>
      </c>
      <c r="CE89" s="66">
        <f t="shared" si="78"/>
        <v>0</v>
      </c>
      <c r="CF89" s="83">
        <f t="shared" si="79"/>
        <v>0</v>
      </c>
      <c r="CG89" s="65">
        <f t="shared" si="80"/>
        <v>0</v>
      </c>
      <c r="CH89" s="83">
        <f t="shared" si="81"/>
        <v>0</v>
      </c>
      <c r="CI89" s="65">
        <f t="shared" si="82"/>
        <v>0</v>
      </c>
      <c r="CJ89" s="83">
        <f t="shared" si="83"/>
        <v>0</v>
      </c>
      <c r="CK89" s="65">
        <f t="shared" si="84"/>
        <v>0</v>
      </c>
      <c r="CL89" s="83">
        <f t="shared" si="85"/>
        <v>0</v>
      </c>
      <c r="CM89" s="83">
        <f t="shared" si="86"/>
        <v>0</v>
      </c>
      <c r="CN89" s="117">
        <f t="shared" si="87"/>
        <v>0</v>
      </c>
      <c r="CO89" s="117">
        <f t="shared" si="88"/>
        <v>0</v>
      </c>
      <c r="CP89" s="117">
        <f t="shared" si="89"/>
        <v>0</v>
      </c>
      <c r="CQ89" s="117">
        <f t="shared" si="90"/>
        <v>0</v>
      </c>
      <c r="CS89" s="83">
        <f t="shared" si="91"/>
        <v>0</v>
      </c>
      <c r="CT89" s="83">
        <f t="shared" si="92"/>
        <v>0</v>
      </c>
      <c r="CU89" s="83">
        <f t="shared" si="93"/>
        <v>0</v>
      </c>
      <c r="CV89" s="117">
        <v>0</v>
      </c>
      <c r="CW89" s="117">
        <v>0</v>
      </c>
      <c r="CX89" s="117">
        <v>0</v>
      </c>
      <c r="CY89" s="117">
        <v>0</v>
      </c>
    </row>
    <row r="90" spans="1:103" s="2" customFormat="1" ht="21" thickTop="1" thickBot="1" x14ac:dyDescent="0.3">
      <c r="A90" s="202">
        <v>28</v>
      </c>
      <c r="B90" s="148"/>
      <c r="C90" s="91" t="s">
        <v>11</v>
      </c>
      <c r="D90" s="166"/>
      <c r="E90" s="166"/>
      <c r="F90" s="160"/>
      <c r="G90" s="164"/>
      <c r="H90" s="162"/>
      <c r="I90" s="162"/>
      <c r="J90" s="160"/>
      <c r="K90" s="160"/>
      <c r="L90" s="160"/>
      <c r="M90" s="160"/>
      <c r="N90" s="164"/>
      <c r="O90" s="162"/>
      <c r="P90" s="162"/>
      <c r="Q90" s="160"/>
      <c r="R90" s="160"/>
      <c r="S90" s="160"/>
      <c r="T90" s="172"/>
      <c r="U90" s="164"/>
      <c r="V90" s="162"/>
      <c r="W90" s="162"/>
      <c r="X90" s="160"/>
      <c r="Y90" s="160"/>
      <c r="Z90" s="164"/>
      <c r="AA90" s="164"/>
      <c r="AB90" s="160"/>
      <c r="AC90" s="162"/>
      <c r="AD90" s="162"/>
      <c r="AE90" s="162"/>
      <c r="AF90" s="162"/>
      <c r="AG90" s="160"/>
      <c r="AH90" s="170"/>
      <c r="AI90" s="174">
        <f t="shared" ref="AI90" si="104">SUM(D90:AH90)</f>
        <v>0</v>
      </c>
      <c r="AJ90" s="87">
        <f>SUMIF(D92:AH92, "LL", D90:AH90) + SUMIF(D92:AH92, "LL", D91:AH91)</f>
        <v>0</v>
      </c>
      <c r="AK90" s="18"/>
      <c r="AL90" s="26"/>
      <c r="AM90" s="100">
        <f t="shared" ref="AM90" si="105">SUMIF(D92:AH92, "CO", D90:AH90) + SUMIF(D92:AH92, "CO", D91:AH91)</f>
        <v>0</v>
      </c>
      <c r="AN90" s="61">
        <f>SUM(AI90:AM90)</f>
        <v>0</v>
      </c>
      <c r="AO90" s="27"/>
      <c r="AP90" s="77"/>
      <c r="AQ90" s="133"/>
      <c r="AR90" s="5"/>
      <c r="AS90" s="121"/>
      <c r="AT90" s="121"/>
      <c r="AU90" s="121"/>
      <c r="AV90" s="121"/>
      <c r="AW90" s="121"/>
      <c r="AX90" s="121"/>
      <c r="AY90" s="121"/>
      <c r="AZ90" s="121"/>
      <c r="BA90" s="121"/>
      <c r="BB90" s="121"/>
      <c r="BC90" s="121"/>
      <c r="BD90" s="121"/>
      <c r="BE90" s="121"/>
      <c r="BF90" s="121"/>
      <c r="BG90" s="121"/>
      <c r="BH90" s="121"/>
      <c r="BI90" s="121"/>
      <c r="BJ90" s="121"/>
      <c r="BK90" s="121"/>
      <c r="BL90" s="121"/>
      <c r="BM90" s="121"/>
      <c r="BN90" s="121"/>
      <c r="CD90" s="83">
        <f t="shared" si="77"/>
        <v>0</v>
      </c>
      <c r="CE90" s="66">
        <f t="shared" si="78"/>
        <v>0</v>
      </c>
      <c r="CF90" s="83">
        <f t="shared" si="79"/>
        <v>0</v>
      </c>
      <c r="CG90" s="65">
        <f t="shared" si="80"/>
        <v>0</v>
      </c>
      <c r="CH90" s="83">
        <f t="shared" si="81"/>
        <v>0</v>
      </c>
      <c r="CI90" s="65">
        <f t="shared" si="82"/>
        <v>0</v>
      </c>
      <c r="CJ90" s="83">
        <f t="shared" si="83"/>
        <v>0</v>
      </c>
      <c r="CK90" s="65">
        <f t="shared" si="84"/>
        <v>0</v>
      </c>
      <c r="CL90" s="83">
        <f t="shared" si="85"/>
        <v>0</v>
      </c>
      <c r="CM90" s="83">
        <f t="shared" si="86"/>
        <v>0</v>
      </c>
      <c r="CN90" s="117">
        <f t="shared" si="87"/>
        <v>0</v>
      </c>
      <c r="CO90" s="117">
        <f t="shared" si="88"/>
        <v>0</v>
      </c>
      <c r="CP90" s="117">
        <f t="shared" si="89"/>
        <v>0</v>
      </c>
      <c r="CQ90" s="117">
        <f t="shared" si="90"/>
        <v>0</v>
      </c>
      <c r="CS90" s="83">
        <f t="shared" si="91"/>
        <v>0</v>
      </c>
      <c r="CT90" s="83">
        <f t="shared" si="92"/>
        <v>0</v>
      </c>
      <c r="CU90" s="83">
        <f t="shared" si="93"/>
        <v>0</v>
      </c>
      <c r="CV90" s="117">
        <v>0</v>
      </c>
      <c r="CW90" s="117">
        <v>0</v>
      </c>
      <c r="CX90" s="117">
        <v>0</v>
      </c>
      <c r="CY90" s="117">
        <v>0</v>
      </c>
    </row>
    <row r="91" spans="1:103" s="2" customFormat="1" ht="22" thickBot="1" x14ac:dyDescent="0.3">
      <c r="A91" s="203"/>
      <c r="B91" s="149"/>
      <c r="C91" s="3" t="s">
        <v>12</v>
      </c>
      <c r="D91" s="167"/>
      <c r="E91" s="167"/>
      <c r="F91" s="161"/>
      <c r="G91" s="165"/>
      <c r="H91" s="163"/>
      <c r="I91" s="163"/>
      <c r="J91" s="161"/>
      <c r="K91" s="161"/>
      <c r="L91" s="161"/>
      <c r="M91" s="161"/>
      <c r="N91" s="165"/>
      <c r="O91" s="163"/>
      <c r="P91" s="163"/>
      <c r="Q91" s="161"/>
      <c r="R91" s="161"/>
      <c r="S91" s="161"/>
      <c r="T91" s="173"/>
      <c r="U91" s="165"/>
      <c r="V91" s="163"/>
      <c r="W91" s="163"/>
      <c r="X91" s="161"/>
      <c r="Y91" s="161"/>
      <c r="Z91" s="165"/>
      <c r="AA91" s="165"/>
      <c r="AB91" s="161"/>
      <c r="AC91" s="163"/>
      <c r="AD91" s="163"/>
      <c r="AE91" s="163"/>
      <c r="AF91" s="163"/>
      <c r="AG91" s="161"/>
      <c r="AH91" s="171"/>
      <c r="AI91" s="169"/>
      <c r="AJ91" s="11"/>
      <c r="AK91" s="7"/>
      <c r="AL91" s="7"/>
      <c r="AM91" s="11"/>
      <c r="AN91" s="59"/>
      <c r="AO91" s="5"/>
      <c r="AP91" s="78"/>
      <c r="AQ91" s="133"/>
      <c r="AR91" s="5"/>
      <c r="AS91" s="121"/>
      <c r="AT91" s="121"/>
      <c r="AU91" s="121"/>
      <c r="AV91" s="121"/>
      <c r="AW91" s="121"/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CD91" s="83">
        <f t="shared" si="77"/>
        <v>0</v>
      </c>
      <c r="CE91" s="66">
        <f t="shared" si="78"/>
        <v>0</v>
      </c>
      <c r="CF91" s="83">
        <f t="shared" si="79"/>
        <v>0</v>
      </c>
      <c r="CG91" s="65">
        <f t="shared" si="80"/>
        <v>0</v>
      </c>
      <c r="CH91" s="83">
        <f t="shared" si="81"/>
        <v>0</v>
      </c>
      <c r="CI91" s="65">
        <f t="shared" si="82"/>
        <v>0</v>
      </c>
      <c r="CJ91" s="83">
        <f t="shared" si="83"/>
        <v>0</v>
      </c>
      <c r="CK91" s="65">
        <f t="shared" si="84"/>
        <v>0</v>
      </c>
      <c r="CL91" s="83">
        <f t="shared" si="85"/>
        <v>0</v>
      </c>
      <c r="CM91" s="83">
        <f t="shared" si="86"/>
        <v>0</v>
      </c>
      <c r="CN91" s="117">
        <f t="shared" si="87"/>
        <v>0</v>
      </c>
      <c r="CO91" s="117">
        <f t="shared" si="88"/>
        <v>0</v>
      </c>
      <c r="CP91" s="117">
        <f t="shared" si="89"/>
        <v>0</v>
      </c>
      <c r="CQ91" s="117">
        <f t="shared" si="90"/>
        <v>0</v>
      </c>
      <c r="CS91" s="83">
        <f t="shared" si="91"/>
        <v>0</v>
      </c>
      <c r="CT91" s="83">
        <f t="shared" si="92"/>
        <v>0</v>
      </c>
      <c r="CU91" s="83">
        <f t="shared" si="93"/>
        <v>0</v>
      </c>
      <c r="CV91" s="117">
        <v>0</v>
      </c>
      <c r="CW91" s="117">
        <v>0</v>
      </c>
      <c r="CX91" s="117">
        <v>0</v>
      </c>
      <c r="CY91" s="117">
        <v>0</v>
      </c>
    </row>
    <row r="92" spans="1:103" s="2" customFormat="1" ht="20" thickBot="1" x14ac:dyDescent="0.3">
      <c r="A92" s="204"/>
      <c r="B92" s="150"/>
      <c r="C92" s="92" t="s">
        <v>4</v>
      </c>
      <c r="D92" s="88"/>
      <c r="E92" s="88"/>
      <c r="F92" s="88"/>
      <c r="G92" s="89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90"/>
      <c r="AI92" s="36"/>
      <c r="AJ92" s="34"/>
      <c r="AK92" s="28"/>
      <c r="AL92" s="28"/>
      <c r="AM92" s="34"/>
      <c r="AN92" s="60"/>
      <c r="AO92" s="30"/>
      <c r="AP92" s="74"/>
      <c r="AQ92" s="133"/>
      <c r="AR92" s="5"/>
      <c r="AS92" s="121"/>
      <c r="AT92" s="121"/>
      <c r="AU92" s="121"/>
      <c r="AV92" s="121"/>
      <c r="AW92" s="121"/>
      <c r="AX92" s="121"/>
      <c r="AY92" s="121"/>
      <c r="AZ92" s="121"/>
      <c r="BA92" s="121"/>
      <c r="BB92" s="121"/>
      <c r="BC92" s="121"/>
      <c r="BD92" s="121"/>
      <c r="BE92" s="121"/>
      <c r="BF92" s="121"/>
      <c r="BG92" s="121"/>
      <c r="BH92" s="121"/>
      <c r="BI92" s="121"/>
      <c r="BJ92" s="121"/>
      <c r="BK92" s="121"/>
      <c r="BL92" s="121"/>
      <c r="BM92" s="121"/>
      <c r="BN92" s="121"/>
      <c r="CD92" s="83">
        <f t="shared" si="77"/>
        <v>0</v>
      </c>
      <c r="CE92" s="66">
        <f t="shared" si="78"/>
        <v>0</v>
      </c>
      <c r="CF92" s="83">
        <f t="shared" si="79"/>
        <v>0</v>
      </c>
      <c r="CG92" s="65">
        <f t="shared" si="80"/>
        <v>0</v>
      </c>
      <c r="CH92" s="83">
        <f t="shared" si="81"/>
        <v>0</v>
      </c>
      <c r="CI92" s="65">
        <f t="shared" si="82"/>
        <v>0</v>
      </c>
      <c r="CJ92" s="83">
        <f t="shared" si="83"/>
        <v>0</v>
      </c>
      <c r="CK92" s="65">
        <f t="shared" si="84"/>
        <v>0</v>
      </c>
      <c r="CL92" s="83">
        <f t="shared" si="85"/>
        <v>0</v>
      </c>
      <c r="CM92" s="83">
        <f t="shared" si="86"/>
        <v>0</v>
      </c>
      <c r="CN92" s="117">
        <f t="shared" si="87"/>
        <v>0</v>
      </c>
      <c r="CO92" s="117">
        <f t="shared" si="88"/>
        <v>0</v>
      </c>
      <c r="CP92" s="117">
        <f t="shared" si="89"/>
        <v>0</v>
      </c>
      <c r="CQ92" s="117">
        <f t="shared" si="90"/>
        <v>0</v>
      </c>
      <c r="CS92" s="83">
        <f t="shared" si="91"/>
        <v>0</v>
      </c>
      <c r="CT92" s="83">
        <f t="shared" si="92"/>
        <v>0</v>
      </c>
      <c r="CU92" s="83">
        <f t="shared" si="93"/>
        <v>0</v>
      </c>
      <c r="CV92" s="117">
        <v>0</v>
      </c>
      <c r="CW92" s="117">
        <v>0</v>
      </c>
      <c r="CX92" s="117">
        <v>0</v>
      </c>
      <c r="CY92" s="117">
        <v>0</v>
      </c>
    </row>
    <row r="93" spans="1:103" s="2" customFormat="1" ht="21" thickTop="1" thickBot="1" x14ac:dyDescent="0.3">
      <c r="A93" s="202">
        <v>29</v>
      </c>
      <c r="B93" s="148"/>
      <c r="C93" s="91" t="s">
        <v>11</v>
      </c>
      <c r="D93" s="166"/>
      <c r="E93" s="166"/>
      <c r="F93" s="160"/>
      <c r="G93" s="164"/>
      <c r="H93" s="162"/>
      <c r="I93" s="162"/>
      <c r="J93" s="160"/>
      <c r="K93" s="160"/>
      <c r="L93" s="160"/>
      <c r="M93" s="160"/>
      <c r="N93" s="164"/>
      <c r="O93" s="162"/>
      <c r="P93" s="162"/>
      <c r="Q93" s="160"/>
      <c r="R93" s="160"/>
      <c r="S93" s="160"/>
      <c r="T93" s="172"/>
      <c r="U93" s="164"/>
      <c r="V93" s="162"/>
      <c r="W93" s="162"/>
      <c r="X93" s="160"/>
      <c r="Y93" s="160"/>
      <c r="Z93" s="164"/>
      <c r="AA93" s="164"/>
      <c r="AB93" s="160"/>
      <c r="AC93" s="162"/>
      <c r="AD93" s="162"/>
      <c r="AE93" s="162"/>
      <c r="AF93" s="162"/>
      <c r="AG93" s="160"/>
      <c r="AH93" s="170"/>
      <c r="AI93" s="168">
        <f t="shared" ref="AI93" si="106">SUM(D93:AH93)</f>
        <v>0</v>
      </c>
      <c r="AJ93" s="86">
        <f>SUMIF(D95:AH95, "LL", D93:AH93) + SUMIF(D95:AH95, "LL", D94:AH94)</f>
        <v>0</v>
      </c>
      <c r="AK93" s="18"/>
      <c r="AL93" s="26"/>
      <c r="AM93" s="99">
        <f t="shared" ref="AM93" si="107">SUMIF(D95:AH95, "CO", D93:AH93) + SUMIF(D95:AH95, "CO", D94:AH94)</f>
        <v>0</v>
      </c>
      <c r="AN93" s="61">
        <f>SUM(AI93:AM93)</f>
        <v>0</v>
      </c>
      <c r="AO93" s="27"/>
      <c r="AP93" s="77"/>
      <c r="AQ93" s="133"/>
      <c r="AR93" s="5"/>
      <c r="AS93" s="121"/>
      <c r="AT93" s="121"/>
      <c r="AU93" s="121"/>
      <c r="AV93" s="121"/>
      <c r="AW93" s="121"/>
      <c r="AX93" s="121"/>
      <c r="AY93" s="121"/>
      <c r="AZ93" s="121"/>
      <c r="BA93" s="121"/>
      <c r="BB93" s="121"/>
      <c r="BC93" s="121"/>
      <c r="BD93" s="121"/>
      <c r="BE93" s="121"/>
      <c r="BF93" s="121"/>
      <c r="BG93" s="121"/>
      <c r="BH93" s="121"/>
      <c r="BI93" s="121"/>
      <c r="BJ93" s="121"/>
      <c r="BK93" s="121"/>
      <c r="BL93" s="121"/>
      <c r="BM93" s="121"/>
      <c r="BN93" s="121"/>
      <c r="CD93" s="83">
        <f t="shared" si="77"/>
        <v>0</v>
      </c>
      <c r="CE93" s="66">
        <f t="shared" si="78"/>
        <v>0</v>
      </c>
      <c r="CF93" s="83">
        <f t="shared" si="79"/>
        <v>0</v>
      </c>
      <c r="CG93" s="65">
        <f t="shared" si="80"/>
        <v>0</v>
      </c>
      <c r="CH93" s="83">
        <f t="shared" si="81"/>
        <v>0</v>
      </c>
      <c r="CI93" s="65">
        <f t="shared" si="82"/>
        <v>0</v>
      </c>
      <c r="CJ93" s="83">
        <f t="shared" si="83"/>
        <v>0</v>
      </c>
      <c r="CK93" s="65">
        <f t="shared" si="84"/>
        <v>0</v>
      </c>
      <c r="CL93" s="83">
        <f t="shared" si="85"/>
        <v>0</v>
      </c>
      <c r="CM93" s="83">
        <f t="shared" si="86"/>
        <v>0</v>
      </c>
      <c r="CN93" s="117">
        <f t="shared" si="87"/>
        <v>0</v>
      </c>
      <c r="CO93" s="117">
        <f t="shared" si="88"/>
        <v>0</v>
      </c>
      <c r="CP93" s="117">
        <f t="shared" si="89"/>
        <v>0</v>
      </c>
      <c r="CQ93" s="117">
        <f t="shared" si="90"/>
        <v>0</v>
      </c>
      <c r="CS93" s="83">
        <f t="shared" si="91"/>
        <v>0</v>
      </c>
      <c r="CT93" s="83">
        <f t="shared" si="92"/>
        <v>0</v>
      </c>
      <c r="CU93" s="83">
        <f t="shared" si="93"/>
        <v>0</v>
      </c>
      <c r="CV93" s="117">
        <v>0</v>
      </c>
      <c r="CW93" s="117">
        <v>0</v>
      </c>
      <c r="CX93" s="117">
        <v>0</v>
      </c>
      <c r="CY93" s="117">
        <v>0</v>
      </c>
    </row>
    <row r="94" spans="1:103" s="2" customFormat="1" ht="22" thickBot="1" x14ac:dyDescent="0.3">
      <c r="A94" s="203"/>
      <c r="B94" s="149"/>
      <c r="C94" s="3" t="s">
        <v>12</v>
      </c>
      <c r="D94" s="167"/>
      <c r="E94" s="167"/>
      <c r="F94" s="161"/>
      <c r="G94" s="165"/>
      <c r="H94" s="163"/>
      <c r="I94" s="163"/>
      <c r="J94" s="161"/>
      <c r="K94" s="161"/>
      <c r="L94" s="161"/>
      <c r="M94" s="161"/>
      <c r="N94" s="165"/>
      <c r="O94" s="163"/>
      <c r="P94" s="163"/>
      <c r="Q94" s="161"/>
      <c r="R94" s="161"/>
      <c r="S94" s="161"/>
      <c r="T94" s="173"/>
      <c r="U94" s="165"/>
      <c r="V94" s="163"/>
      <c r="W94" s="163"/>
      <c r="X94" s="161"/>
      <c r="Y94" s="161"/>
      <c r="Z94" s="165"/>
      <c r="AA94" s="165"/>
      <c r="AB94" s="161"/>
      <c r="AC94" s="163"/>
      <c r="AD94" s="163"/>
      <c r="AE94" s="163"/>
      <c r="AF94" s="163"/>
      <c r="AG94" s="161"/>
      <c r="AH94" s="171"/>
      <c r="AI94" s="169"/>
      <c r="AJ94" s="11"/>
      <c r="AK94" s="7"/>
      <c r="AL94" s="7"/>
      <c r="AM94" s="11"/>
      <c r="AN94" s="59"/>
      <c r="AO94" s="5"/>
      <c r="AP94" s="78"/>
      <c r="AQ94" s="133"/>
      <c r="AR94" s="5"/>
      <c r="AS94" s="121"/>
      <c r="AT94" s="121"/>
      <c r="AU94" s="121"/>
      <c r="AV94" s="121"/>
      <c r="AW94" s="121"/>
      <c r="AX94" s="121"/>
      <c r="AY94" s="121"/>
      <c r="AZ94" s="121"/>
      <c r="BA94" s="121"/>
      <c r="BB94" s="121"/>
      <c r="BC94" s="121"/>
      <c r="BD94" s="121"/>
      <c r="BE94" s="121"/>
      <c r="BF94" s="121"/>
      <c r="BG94" s="121"/>
      <c r="BH94" s="121"/>
      <c r="BI94" s="121"/>
      <c r="BJ94" s="121"/>
      <c r="BK94" s="121"/>
      <c r="BL94" s="121"/>
      <c r="BM94" s="121"/>
      <c r="BN94" s="121"/>
      <c r="CD94" s="83">
        <f t="shared" si="77"/>
        <v>0</v>
      </c>
      <c r="CE94" s="66">
        <f t="shared" si="78"/>
        <v>0</v>
      </c>
      <c r="CF94" s="83">
        <f t="shared" si="79"/>
        <v>0</v>
      </c>
      <c r="CG94" s="65">
        <f t="shared" si="80"/>
        <v>0</v>
      </c>
      <c r="CH94" s="83">
        <f t="shared" si="81"/>
        <v>0</v>
      </c>
      <c r="CI94" s="65">
        <f t="shared" si="82"/>
        <v>0</v>
      </c>
      <c r="CJ94" s="83">
        <f t="shared" si="83"/>
        <v>0</v>
      </c>
      <c r="CK94" s="65">
        <f t="shared" si="84"/>
        <v>0</v>
      </c>
      <c r="CL94" s="83">
        <f t="shared" si="85"/>
        <v>0</v>
      </c>
      <c r="CM94" s="83">
        <f t="shared" si="86"/>
        <v>0</v>
      </c>
      <c r="CN94" s="117">
        <f t="shared" si="87"/>
        <v>0</v>
      </c>
      <c r="CO94" s="117">
        <f t="shared" si="88"/>
        <v>0</v>
      </c>
      <c r="CP94" s="117">
        <f t="shared" si="89"/>
        <v>0</v>
      </c>
      <c r="CQ94" s="117">
        <f t="shared" si="90"/>
        <v>0</v>
      </c>
      <c r="CS94" s="83">
        <f t="shared" si="91"/>
        <v>0</v>
      </c>
      <c r="CT94" s="83">
        <f t="shared" si="92"/>
        <v>0</v>
      </c>
      <c r="CU94" s="83">
        <f t="shared" si="93"/>
        <v>0</v>
      </c>
      <c r="CV94" s="117">
        <v>0</v>
      </c>
      <c r="CW94" s="117">
        <v>0</v>
      </c>
      <c r="CX94" s="117">
        <v>0</v>
      </c>
      <c r="CY94" s="117">
        <v>0</v>
      </c>
    </row>
    <row r="95" spans="1:103" s="2" customFormat="1" ht="20" thickBot="1" x14ac:dyDescent="0.3">
      <c r="A95" s="204"/>
      <c r="B95" s="150"/>
      <c r="C95" s="92" t="s">
        <v>4</v>
      </c>
      <c r="D95" s="88"/>
      <c r="E95" s="88"/>
      <c r="F95" s="88"/>
      <c r="G95" s="89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90"/>
      <c r="AI95" s="36"/>
      <c r="AJ95" s="34"/>
      <c r="AK95" s="47"/>
      <c r="AL95" s="47"/>
      <c r="AM95" s="34"/>
      <c r="AN95" s="62"/>
      <c r="AO95" s="48"/>
      <c r="AP95" s="79"/>
      <c r="AQ95" s="134"/>
      <c r="AR95" s="5"/>
      <c r="AS95" s="121"/>
      <c r="AT95" s="121"/>
      <c r="AU95" s="121"/>
      <c r="AV95" s="121"/>
      <c r="AW95" s="121"/>
      <c r="AX95" s="121"/>
      <c r="AY95" s="121"/>
      <c r="AZ95" s="121"/>
      <c r="BA95" s="121"/>
      <c r="BB95" s="121"/>
      <c r="BC95" s="121"/>
      <c r="BD95" s="121"/>
      <c r="BE95" s="121"/>
      <c r="BF95" s="121"/>
      <c r="BG95" s="121"/>
      <c r="BH95" s="121"/>
      <c r="BI95" s="121"/>
      <c r="BJ95" s="121"/>
      <c r="BK95" s="121"/>
      <c r="BL95" s="121"/>
      <c r="BM95" s="121"/>
      <c r="BN95" s="121"/>
      <c r="CD95" s="83">
        <f t="shared" si="77"/>
        <v>0</v>
      </c>
      <c r="CE95" s="66">
        <f t="shared" si="78"/>
        <v>0</v>
      </c>
      <c r="CF95" s="83">
        <f t="shared" si="79"/>
        <v>0</v>
      </c>
      <c r="CG95" s="65">
        <f t="shared" si="80"/>
        <v>0</v>
      </c>
      <c r="CH95" s="83">
        <f t="shared" si="81"/>
        <v>0</v>
      </c>
      <c r="CI95" s="65">
        <f t="shared" si="82"/>
        <v>0</v>
      </c>
      <c r="CJ95" s="83">
        <f t="shared" si="83"/>
        <v>0</v>
      </c>
      <c r="CK95" s="65">
        <f t="shared" si="84"/>
        <v>0</v>
      </c>
      <c r="CL95" s="83">
        <f t="shared" si="85"/>
        <v>0</v>
      </c>
      <c r="CM95" s="83">
        <f t="shared" si="86"/>
        <v>0</v>
      </c>
      <c r="CN95" s="117">
        <f t="shared" si="87"/>
        <v>0</v>
      </c>
      <c r="CO95" s="117">
        <f t="shared" si="88"/>
        <v>0</v>
      </c>
      <c r="CP95" s="117">
        <f t="shared" si="89"/>
        <v>0</v>
      </c>
      <c r="CQ95" s="117">
        <f t="shared" si="90"/>
        <v>0</v>
      </c>
      <c r="CS95" s="83">
        <f t="shared" si="91"/>
        <v>0</v>
      </c>
      <c r="CT95" s="83">
        <f t="shared" si="92"/>
        <v>0</v>
      </c>
      <c r="CU95" s="83">
        <f t="shared" si="93"/>
        <v>0</v>
      </c>
      <c r="CV95" s="117">
        <v>0</v>
      </c>
      <c r="CW95" s="117">
        <v>0</v>
      </c>
      <c r="CX95" s="117">
        <v>0</v>
      </c>
      <c r="CY95" s="117">
        <v>0</v>
      </c>
    </row>
    <row r="96" spans="1:103" s="2" customFormat="1" ht="20" thickTop="1" x14ac:dyDescent="0.25">
      <c r="A96" s="202">
        <v>30</v>
      </c>
      <c r="B96" s="148"/>
      <c r="C96" s="91" t="s">
        <v>11</v>
      </c>
      <c r="D96" s="166"/>
      <c r="E96" s="166"/>
      <c r="F96" s="160"/>
      <c r="G96" s="164"/>
      <c r="H96" s="162"/>
      <c r="I96" s="162"/>
      <c r="J96" s="160"/>
      <c r="K96" s="160"/>
      <c r="L96" s="160"/>
      <c r="M96" s="160"/>
      <c r="N96" s="164"/>
      <c r="O96" s="162"/>
      <c r="P96" s="162"/>
      <c r="Q96" s="160"/>
      <c r="R96" s="160"/>
      <c r="S96" s="160"/>
      <c r="T96" s="172"/>
      <c r="U96" s="164"/>
      <c r="V96" s="162"/>
      <c r="W96" s="162"/>
      <c r="X96" s="160"/>
      <c r="Y96" s="160"/>
      <c r="Z96" s="164"/>
      <c r="AA96" s="164"/>
      <c r="AB96" s="160"/>
      <c r="AC96" s="162"/>
      <c r="AD96" s="162"/>
      <c r="AE96" s="162"/>
      <c r="AF96" s="162"/>
      <c r="AG96" s="160"/>
      <c r="AH96" s="170"/>
      <c r="AI96" s="174">
        <f t="shared" ref="AI96" si="108">SUM(D96:AH96)</f>
        <v>0</v>
      </c>
      <c r="AJ96" s="87">
        <f>SUMIF(D98:AH98, "LL", D96:AH96) + SUMIF(D98:AH98, "LL", D97:AH97)</f>
        <v>0</v>
      </c>
      <c r="AK96" s="7"/>
      <c r="AL96" s="7"/>
      <c r="AM96" s="100">
        <f t="shared" ref="AM96" si="109">SUMIF(D98:AH98, "CO", D96:AH96) + SUMIF(D98:AH98, "CO", D97:AH97)</f>
        <v>0</v>
      </c>
      <c r="AN96" s="59">
        <f>SUM(AI96:AM96)</f>
        <v>0</v>
      </c>
      <c r="AO96" s="5"/>
      <c r="AP96" s="73"/>
      <c r="AQ96" s="135"/>
      <c r="AR96" s="5"/>
      <c r="AS96" s="121"/>
      <c r="AT96" s="121"/>
      <c r="AU96" s="121"/>
      <c r="AV96" s="121"/>
      <c r="AW96" s="121"/>
      <c r="AX96" s="121"/>
      <c r="AY96" s="121"/>
      <c r="AZ96" s="121"/>
      <c r="BA96" s="121"/>
      <c r="BB96" s="121"/>
      <c r="BC96" s="121"/>
      <c r="BD96" s="121"/>
      <c r="BE96" s="121"/>
      <c r="BF96" s="121"/>
      <c r="BG96" s="121"/>
      <c r="BH96" s="121"/>
      <c r="BI96" s="121"/>
      <c r="BJ96" s="121"/>
      <c r="BK96" s="121"/>
      <c r="BL96" s="121"/>
      <c r="BM96" s="121"/>
      <c r="BN96" s="121"/>
      <c r="CD96" s="83">
        <f t="shared" si="77"/>
        <v>0</v>
      </c>
      <c r="CE96" s="66">
        <f t="shared" si="78"/>
        <v>0</v>
      </c>
      <c r="CF96" s="83">
        <f t="shared" si="79"/>
        <v>0</v>
      </c>
      <c r="CG96" s="65">
        <f t="shared" si="80"/>
        <v>0</v>
      </c>
      <c r="CH96" s="83">
        <f t="shared" si="81"/>
        <v>0</v>
      </c>
      <c r="CI96" s="65">
        <f t="shared" si="82"/>
        <v>0</v>
      </c>
      <c r="CJ96" s="83">
        <f t="shared" si="83"/>
        <v>0</v>
      </c>
      <c r="CK96" s="65">
        <f t="shared" si="84"/>
        <v>0</v>
      </c>
      <c r="CL96" s="83">
        <f t="shared" si="85"/>
        <v>0</v>
      </c>
      <c r="CM96" s="83">
        <f t="shared" si="86"/>
        <v>0</v>
      </c>
      <c r="CN96" s="117">
        <f t="shared" si="87"/>
        <v>0</v>
      </c>
      <c r="CO96" s="117">
        <f t="shared" si="88"/>
        <v>0</v>
      </c>
      <c r="CP96" s="117">
        <f t="shared" si="89"/>
        <v>0</v>
      </c>
      <c r="CQ96" s="117">
        <f t="shared" si="90"/>
        <v>0</v>
      </c>
      <c r="CS96" s="83">
        <f t="shared" si="91"/>
        <v>0</v>
      </c>
      <c r="CT96" s="83">
        <f t="shared" si="92"/>
        <v>0</v>
      </c>
      <c r="CU96" s="83">
        <f t="shared" si="93"/>
        <v>0</v>
      </c>
      <c r="CV96" s="117">
        <v>0</v>
      </c>
      <c r="CW96" s="117">
        <v>0</v>
      </c>
      <c r="CX96" s="117">
        <v>0</v>
      </c>
      <c r="CY96" s="117">
        <v>0</v>
      </c>
    </row>
    <row r="97" spans="1:103" s="2" customFormat="1" ht="21" x14ac:dyDescent="0.25">
      <c r="A97" s="203"/>
      <c r="B97" s="149"/>
      <c r="C97" s="3" t="s">
        <v>12</v>
      </c>
      <c r="D97" s="167"/>
      <c r="E97" s="167"/>
      <c r="F97" s="161"/>
      <c r="G97" s="165"/>
      <c r="H97" s="163"/>
      <c r="I97" s="163"/>
      <c r="J97" s="161"/>
      <c r="K97" s="161"/>
      <c r="L97" s="161"/>
      <c r="M97" s="161"/>
      <c r="N97" s="165"/>
      <c r="O97" s="163"/>
      <c r="P97" s="163"/>
      <c r="Q97" s="161"/>
      <c r="R97" s="161"/>
      <c r="S97" s="161"/>
      <c r="T97" s="173"/>
      <c r="U97" s="165"/>
      <c r="V97" s="163"/>
      <c r="W97" s="163"/>
      <c r="X97" s="161"/>
      <c r="Y97" s="161"/>
      <c r="Z97" s="165"/>
      <c r="AA97" s="165"/>
      <c r="AB97" s="161"/>
      <c r="AC97" s="163"/>
      <c r="AD97" s="163"/>
      <c r="AE97" s="163"/>
      <c r="AF97" s="163"/>
      <c r="AG97" s="161"/>
      <c r="AH97" s="171"/>
      <c r="AI97" s="169"/>
      <c r="AJ97" s="11"/>
      <c r="AK97" s="7"/>
      <c r="AL97" s="7"/>
      <c r="AM97" s="11"/>
      <c r="AN97" s="59"/>
      <c r="AO97" s="5"/>
      <c r="AP97" s="78"/>
      <c r="AQ97" s="135"/>
      <c r="AR97" s="5"/>
      <c r="AS97" s="121"/>
      <c r="AT97" s="121"/>
      <c r="AU97" s="121"/>
      <c r="AV97" s="121"/>
      <c r="AW97" s="121"/>
      <c r="AX97" s="121"/>
      <c r="AY97" s="121"/>
      <c r="AZ97" s="121"/>
      <c r="BA97" s="121"/>
      <c r="BB97" s="121"/>
      <c r="BC97" s="121"/>
      <c r="BD97" s="121"/>
      <c r="BE97" s="121"/>
      <c r="BF97" s="121"/>
      <c r="BG97" s="121"/>
      <c r="BH97" s="121"/>
      <c r="BI97" s="121"/>
      <c r="BJ97" s="121"/>
      <c r="BK97" s="121"/>
      <c r="BL97" s="121"/>
      <c r="BM97" s="121"/>
      <c r="BN97" s="121"/>
      <c r="CD97" s="83">
        <f t="shared" si="77"/>
        <v>0</v>
      </c>
      <c r="CE97" s="66">
        <f t="shared" si="78"/>
        <v>0</v>
      </c>
      <c r="CF97" s="83">
        <f t="shared" si="79"/>
        <v>0</v>
      </c>
      <c r="CG97" s="65">
        <f t="shared" si="80"/>
        <v>0</v>
      </c>
      <c r="CH97" s="83">
        <f t="shared" si="81"/>
        <v>0</v>
      </c>
      <c r="CI97" s="65">
        <f t="shared" si="82"/>
        <v>0</v>
      </c>
      <c r="CJ97" s="83">
        <f t="shared" si="83"/>
        <v>0</v>
      </c>
      <c r="CK97" s="65">
        <f t="shared" si="84"/>
        <v>0</v>
      </c>
      <c r="CL97" s="83">
        <f t="shared" si="85"/>
        <v>0</v>
      </c>
      <c r="CM97" s="83">
        <f t="shared" si="86"/>
        <v>0</v>
      </c>
      <c r="CN97" s="117">
        <f t="shared" si="87"/>
        <v>0</v>
      </c>
      <c r="CO97" s="117">
        <f t="shared" si="88"/>
        <v>0</v>
      </c>
      <c r="CP97" s="117">
        <f t="shared" si="89"/>
        <v>0</v>
      </c>
      <c r="CQ97" s="117">
        <f t="shared" si="90"/>
        <v>0</v>
      </c>
      <c r="CS97" s="83">
        <f t="shared" si="91"/>
        <v>0</v>
      </c>
      <c r="CT97" s="83">
        <f t="shared" si="92"/>
        <v>0</v>
      </c>
      <c r="CU97" s="83">
        <f t="shared" si="93"/>
        <v>0</v>
      </c>
      <c r="CV97" s="117">
        <v>0</v>
      </c>
      <c r="CW97" s="117">
        <v>0</v>
      </c>
      <c r="CX97" s="117">
        <v>0</v>
      </c>
      <c r="CY97" s="117">
        <v>0</v>
      </c>
    </row>
    <row r="98" spans="1:103" s="2" customFormat="1" ht="22" thickBot="1" x14ac:dyDescent="0.3">
      <c r="A98" s="204"/>
      <c r="B98" s="150"/>
      <c r="C98" s="92" t="s">
        <v>4</v>
      </c>
      <c r="D98" s="88"/>
      <c r="E98" s="88"/>
      <c r="F98" s="88"/>
      <c r="G98" s="89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90"/>
      <c r="AI98" s="36"/>
      <c r="AJ98" s="34"/>
      <c r="AK98" s="7"/>
      <c r="AL98" s="7"/>
      <c r="AM98" s="34"/>
      <c r="AN98" s="59"/>
      <c r="AO98" s="5"/>
      <c r="AP98" s="78"/>
      <c r="AQ98" s="135"/>
      <c r="AR98" s="5"/>
      <c r="AS98" s="121"/>
      <c r="AT98" s="121"/>
      <c r="AU98" s="121"/>
      <c r="AV98" s="121"/>
      <c r="AW98" s="121"/>
      <c r="AX98" s="121"/>
      <c r="AY98" s="121"/>
      <c r="AZ98" s="121"/>
      <c r="BA98" s="121"/>
      <c r="BB98" s="121"/>
      <c r="BC98" s="121"/>
      <c r="BD98" s="121"/>
      <c r="BE98" s="121"/>
      <c r="BF98" s="121"/>
      <c r="BG98" s="121"/>
      <c r="BH98" s="121"/>
      <c r="BI98" s="121"/>
      <c r="BJ98" s="121"/>
      <c r="BK98" s="121"/>
      <c r="BL98" s="121"/>
      <c r="BM98" s="121"/>
      <c r="BN98" s="121"/>
      <c r="CD98" s="83">
        <f t="shared" si="77"/>
        <v>0</v>
      </c>
      <c r="CE98" s="66">
        <f t="shared" si="78"/>
        <v>0</v>
      </c>
      <c r="CF98" s="83">
        <f t="shared" si="79"/>
        <v>0</v>
      </c>
      <c r="CG98" s="65">
        <f t="shared" si="80"/>
        <v>0</v>
      </c>
      <c r="CH98" s="83">
        <f t="shared" si="81"/>
        <v>0</v>
      </c>
      <c r="CI98" s="65">
        <f t="shared" si="82"/>
        <v>0</v>
      </c>
      <c r="CJ98" s="83">
        <f t="shared" si="83"/>
        <v>0</v>
      </c>
      <c r="CK98" s="65">
        <f t="shared" si="84"/>
        <v>0</v>
      </c>
      <c r="CL98" s="83">
        <f t="shared" si="85"/>
        <v>0</v>
      </c>
      <c r="CM98" s="83">
        <f t="shared" si="86"/>
        <v>0</v>
      </c>
      <c r="CN98" s="117">
        <f t="shared" si="87"/>
        <v>0</v>
      </c>
      <c r="CO98" s="117">
        <f t="shared" si="88"/>
        <v>0</v>
      </c>
      <c r="CP98" s="117">
        <f t="shared" si="89"/>
        <v>0</v>
      </c>
      <c r="CQ98" s="117">
        <f t="shared" si="90"/>
        <v>0</v>
      </c>
      <c r="CS98" s="83">
        <f t="shared" si="91"/>
        <v>0</v>
      </c>
      <c r="CT98" s="83">
        <f t="shared" si="92"/>
        <v>0</v>
      </c>
      <c r="CU98" s="83">
        <f t="shared" si="93"/>
        <v>0</v>
      </c>
      <c r="CV98" s="117">
        <v>0</v>
      </c>
      <c r="CW98" s="117">
        <v>0</v>
      </c>
      <c r="CX98" s="117">
        <v>0</v>
      </c>
      <c r="CY98" s="117">
        <v>0</v>
      </c>
    </row>
    <row r="99" spans="1:103" s="2" customFormat="1" ht="20" thickTop="1" x14ac:dyDescent="0.25">
      <c r="A99" s="202">
        <v>31</v>
      </c>
      <c r="B99" s="148"/>
      <c r="C99" s="91" t="s">
        <v>11</v>
      </c>
      <c r="D99" s="166"/>
      <c r="E99" s="166"/>
      <c r="F99" s="160"/>
      <c r="G99" s="164"/>
      <c r="H99" s="162"/>
      <c r="I99" s="162"/>
      <c r="J99" s="160"/>
      <c r="K99" s="160"/>
      <c r="L99" s="160"/>
      <c r="M99" s="160"/>
      <c r="N99" s="164"/>
      <c r="O99" s="162"/>
      <c r="P99" s="162"/>
      <c r="Q99" s="160"/>
      <c r="R99" s="160"/>
      <c r="S99" s="160"/>
      <c r="T99" s="172"/>
      <c r="U99" s="164"/>
      <c r="V99" s="162"/>
      <c r="W99" s="162"/>
      <c r="X99" s="160"/>
      <c r="Y99" s="160"/>
      <c r="Z99" s="164"/>
      <c r="AA99" s="164"/>
      <c r="AB99" s="160"/>
      <c r="AC99" s="162"/>
      <c r="AD99" s="162"/>
      <c r="AE99" s="162"/>
      <c r="AF99" s="162"/>
      <c r="AG99" s="160"/>
      <c r="AH99" s="170"/>
      <c r="AI99" s="168">
        <f t="shared" ref="AI99" si="110">SUM(D99:AH99)</f>
        <v>0</v>
      </c>
      <c r="AJ99" s="86">
        <f>SUMIF(D101:AH101, "LL", D99:AH99) + SUMIF(D101:AH101, "LL", D100:AH100)</f>
        <v>0</v>
      </c>
      <c r="AK99" s="7"/>
      <c r="AL99" s="7"/>
      <c r="AM99" s="99">
        <f t="shared" ref="AM99" si="111">SUMIF(D101:AH101, "CO", D99:AH99) + SUMIF(D101:AH101, "CO", D100:AH100)</f>
        <v>0</v>
      </c>
      <c r="AN99" s="59">
        <f>SUM(AI99:AM99)</f>
        <v>0</v>
      </c>
      <c r="AO99" s="5"/>
      <c r="AP99" s="73"/>
      <c r="AQ99" s="135"/>
      <c r="AR99" s="5"/>
      <c r="AS99" s="121"/>
      <c r="AT99" s="121"/>
      <c r="AU99" s="121"/>
      <c r="AV99" s="121"/>
      <c r="AW99" s="121"/>
      <c r="AX99" s="121"/>
      <c r="AY99" s="121"/>
      <c r="AZ99" s="121"/>
      <c r="BA99" s="121"/>
      <c r="BB99" s="121"/>
      <c r="BC99" s="121"/>
      <c r="BD99" s="121"/>
      <c r="BE99" s="121"/>
      <c r="BF99" s="121"/>
      <c r="BG99" s="121"/>
      <c r="BH99" s="121"/>
      <c r="BI99" s="121"/>
      <c r="BJ99" s="121"/>
      <c r="BK99" s="121"/>
      <c r="BL99" s="121"/>
      <c r="BM99" s="121"/>
      <c r="BN99" s="121"/>
      <c r="CD99" s="83">
        <f t="shared" si="77"/>
        <v>0</v>
      </c>
      <c r="CE99" s="66">
        <f t="shared" si="78"/>
        <v>0</v>
      </c>
      <c r="CF99" s="83">
        <f t="shared" si="79"/>
        <v>0</v>
      </c>
      <c r="CG99" s="65">
        <f t="shared" si="80"/>
        <v>0</v>
      </c>
      <c r="CH99" s="83">
        <f t="shared" si="81"/>
        <v>0</v>
      </c>
      <c r="CI99" s="65">
        <f t="shared" si="82"/>
        <v>0</v>
      </c>
      <c r="CJ99" s="83">
        <f t="shared" si="83"/>
        <v>0</v>
      </c>
      <c r="CK99" s="65">
        <f t="shared" si="84"/>
        <v>0</v>
      </c>
      <c r="CL99" s="83">
        <f t="shared" si="85"/>
        <v>0</v>
      </c>
      <c r="CM99" s="83">
        <f t="shared" si="86"/>
        <v>0</v>
      </c>
      <c r="CN99" s="117">
        <f t="shared" si="87"/>
        <v>0</v>
      </c>
      <c r="CO99" s="117">
        <f t="shared" si="88"/>
        <v>0</v>
      </c>
      <c r="CP99" s="117">
        <f t="shared" si="89"/>
        <v>0</v>
      </c>
      <c r="CQ99" s="117">
        <f t="shared" si="90"/>
        <v>0</v>
      </c>
      <c r="CS99" s="83">
        <f t="shared" si="91"/>
        <v>0</v>
      </c>
      <c r="CT99" s="83">
        <f t="shared" si="92"/>
        <v>0</v>
      </c>
      <c r="CU99" s="83">
        <f t="shared" si="93"/>
        <v>0</v>
      </c>
      <c r="CV99" s="117">
        <v>0</v>
      </c>
      <c r="CW99" s="117">
        <v>0</v>
      </c>
      <c r="CX99" s="117">
        <v>0</v>
      </c>
      <c r="CY99" s="117">
        <v>0</v>
      </c>
    </row>
    <row r="100" spans="1:103" s="2" customFormat="1" ht="21" x14ac:dyDescent="0.25">
      <c r="A100" s="203"/>
      <c r="B100" s="149"/>
      <c r="C100" s="3" t="s">
        <v>12</v>
      </c>
      <c r="D100" s="167"/>
      <c r="E100" s="167"/>
      <c r="F100" s="161"/>
      <c r="G100" s="165"/>
      <c r="H100" s="163"/>
      <c r="I100" s="163"/>
      <c r="J100" s="161"/>
      <c r="K100" s="161"/>
      <c r="L100" s="161"/>
      <c r="M100" s="161"/>
      <c r="N100" s="165"/>
      <c r="O100" s="163"/>
      <c r="P100" s="163"/>
      <c r="Q100" s="161"/>
      <c r="R100" s="161"/>
      <c r="S100" s="161"/>
      <c r="T100" s="173"/>
      <c r="U100" s="165"/>
      <c r="V100" s="163"/>
      <c r="W100" s="163"/>
      <c r="X100" s="161"/>
      <c r="Y100" s="161"/>
      <c r="Z100" s="165"/>
      <c r="AA100" s="165"/>
      <c r="AB100" s="161"/>
      <c r="AC100" s="163"/>
      <c r="AD100" s="163"/>
      <c r="AE100" s="163"/>
      <c r="AF100" s="163"/>
      <c r="AG100" s="161"/>
      <c r="AH100" s="171"/>
      <c r="AI100" s="169"/>
      <c r="AJ100" s="11"/>
      <c r="AK100" s="7"/>
      <c r="AL100" s="7"/>
      <c r="AM100" s="11"/>
      <c r="AN100" s="59"/>
      <c r="AO100" s="5"/>
      <c r="AP100" s="78"/>
      <c r="AQ100" s="135"/>
      <c r="AR100" s="5"/>
      <c r="AS100" s="121"/>
      <c r="AT100" s="121"/>
      <c r="AU100" s="121"/>
      <c r="AV100" s="121"/>
      <c r="AW100" s="121"/>
      <c r="AX100" s="121"/>
      <c r="AY100" s="121"/>
      <c r="AZ100" s="121"/>
      <c r="BA100" s="121"/>
      <c r="BB100" s="121"/>
      <c r="BC100" s="121"/>
      <c r="BD100" s="121"/>
      <c r="BE100" s="121"/>
      <c r="BF100" s="121"/>
      <c r="BG100" s="121"/>
      <c r="BH100" s="121"/>
      <c r="BI100" s="121"/>
      <c r="BJ100" s="121"/>
      <c r="BK100" s="121"/>
      <c r="BL100" s="121"/>
      <c r="BM100" s="121"/>
      <c r="BN100" s="121"/>
      <c r="CD100" s="83">
        <f t="shared" si="77"/>
        <v>0</v>
      </c>
      <c r="CE100" s="66">
        <f t="shared" si="78"/>
        <v>0</v>
      </c>
      <c r="CF100" s="83">
        <f t="shared" si="79"/>
        <v>0</v>
      </c>
      <c r="CG100" s="65">
        <f t="shared" si="80"/>
        <v>0</v>
      </c>
      <c r="CH100" s="83">
        <f t="shared" si="81"/>
        <v>0</v>
      </c>
      <c r="CI100" s="65">
        <f t="shared" si="82"/>
        <v>0</v>
      </c>
      <c r="CJ100" s="83">
        <f t="shared" si="83"/>
        <v>0</v>
      </c>
      <c r="CK100" s="65">
        <f t="shared" si="84"/>
        <v>0</v>
      </c>
      <c r="CL100" s="83">
        <f t="shared" si="85"/>
        <v>0</v>
      </c>
      <c r="CM100" s="83">
        <f t="shared" si="86"/>
        <v>0</v>
      </c>
      <c r="CN100" s="117">
        <f t="shared" si="87"/>
        <v>0</v>
      </c>
      <c r="CO100" s="117">
        <f t="shared" si="88"/>
        <v>0</v>
      </c>
      <c r="CP100" s="117">
        <f t="shared" si="89"/>
        <v>0</v>
      </c>
      <c r="CQ100" s="117">
        <f t="shared" si="90"/>
        <v>0</v>
      </c>
      <c r="CS100" s="83">
        <f t="shared" si="91"/>
        <v>0</v>
      </c>
      <c r="CT100" s="83">
        <f t="shared" si="92"/>
        <v>0</v>
      </c>
      <c r="CU100" s="83">
        <f t="shared" si="93"/>
        <v>0</v>
      </c>
      <c r="CV100" s="117">
        <v>0</v>
      </c>
      <c r="CW100" s="117">
        <v>0</v>
      </c>
      <c r="CX100" s="117">
        <v>0</v>
      </c>
      <c r="CY100" s="117">
        <v>0</v>
      </c>
    </row>
    <row r="101" spans="1:103" s="2" customFormat="1" ht="22" thickBot="1" x14ac:dyDescent="0.3">
      <c r="A101" s="204"/>
      <c r="B101" s="150"/>
      <c r="C101" s="92" t="s">
        <v>4</v>
      </c>
      <c r="D101" s="88"/>
      <c r="E101" s="88"/>
      <c r="F101" s="88"/>
      <c r="G101" s="89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90"/>
      <c r="AI101" s="36"/>
      <c r="AJ101" s="34"/>
      <c r="AK101" s="7"/>
      <c r="AL101" s="7"/>
      <c r="AM101" s="34"/>
      <c r="AN101" s="59"/>
      <c r="AO101" s="5"/>
      <c r="AP101" s="78"/>
      <c r="AQ101" s="135"/>
      <c r="AR101" s="5"/>
      <c r="AS101" s="121"/>
      <c r="AT101" s="121"/>
      <c r="AU101" s="121"/>
      <c r="AV101" s="121"/>
      <c r="AW101" s="121"/>
      <c r="AX101" s="121"/>
      <c r="AY101" s="121"/>
      <c r="AZ101" s="121"/>
      <c r="BA101" s="121"/>
      <c r="BB101" s="121"/>
      <c r="BC101" s="121"/>
      <c r="BD101" s="121"/>
      <c r="BE101" s="121"/>
      <c r="BF101" s="121"/>
      <c r="BG101" s="121"/>
      <c r="BH101" s="121"/>
      <c r="BI101" s="121"/>
      <c r="BJ101" s="121"/>
      <c r="BK101" s="121"/>
      <c r="BL101" s="121"/>
      <c r="BM101" s="121"/>
      <c r="BN101" s="121"/>
      <c r="CD101" s="83">
        <f t="shared" si="77"/>
        <v>0</v>
      </c>
      <c r="CE101" s="66">
        <f t="shared" si="78"/>
        <v>0</v>
      </c>
      <c r="CF101" s="83">
        <f t="shared" si="79"/>
        <v>0</v>
      </c>
      <c r="CG101" s="65">
        <f t="shared" si="80"/>
        <v>0</v>
      </c>
      <c r="CH101" s="83">
        <f t="shared" si="81"/>
        <v>0</v>
      </c>
      <c r="CI101" s="65">
        <f t="shared" si="82"/>
        <v>0</v>
      </c>
      <c r="CJ101" s="83">
        <f t="shared" si="83"/>
        <v>0</v>
      </c>
      <c r="CK101" s="65">
        <f t="shared" si="84"/>
        <v>0</v>
      </c>
      <c r="CL101" s="83">
        <f t="shared" si="85"/>
        <v>0</v>
      </c>
      <c r="CM101" s="83">
        <f t="shared" si="86"/>
        <v>0</v>
      </c>
      <c r="CN101" s="117">
        <f t="shared" si="87"/>
        <v>0</v>
      </c>
      <c r="CO101" s="117">
        <f t="shared" si="88"/>
        <v>0</v>
      </c>
      <c r="CP101" s="117">
        <f t="shared" si="89"/>
        <v>0</v>
      </c>
      <c r="CQ101" s="117">
        <f t="shared" si="90"/>
        <v>0</v>
      </c>
      <c r="CS101" s="83">
        <f t="shared" si="91"/>
        <v>0</v>
      </c>
      <c r="CT101" s="83">
        <f t="shared" si="92"/>
        <v>0</v>
      </c>
      <c r="CU101" s="83">
        <f t="shared" si="93"/>
        <v>0</v>
      </c>
      <c r="CV101" s="117">
        <v>0</v>
      </c>
      <c r="CW101" s="117">
        <v>0</v>
      </c>
      <c r="CX101" s="117">
        <v>0</v>
      </c>
      <c r="CY101" s="117">
        <v>0</v>
      </c>
    </row>
    <row r="102" spans="1:103" s="2" customFormat="1" ht="20" thickTop="1" x14ac:dyDescent="0.25">
      <c r="A102" s="189">
        <v>32</v>
      </c>
      <c r="B102" s="181"/>
      <c r="C102" s="93" t="s">
        <v>11</v>
      </c>
      <c r="D102" s="179"/>
      <c r="E102" s="179"/>
      <c r="F102" s="175"/>
      <c r="G102" s="177"/>
      <c r="H102" s="175"/>
      <c r="I102" s="175"/>
      <c r="J102" s="175"/>
      <c r="K102" s="175"/>
      <c r="L102" s="175"/>
      <c r="M102" s="175"/>
      <c r="N102" s="177"/>
      <c r="O102" s="175"/>
      <c r="P102" s="175"/>
      <c r="Q102" s="175"/>
      <c r="R102" s="175"/>
      <c r="S102" s="175"/>
      <c r="T102" s="177"/>
      <c r="U102" s="177"/>
      <c r="V102" s="175"/>
      <c r="W102" s="175"/>
      <c r="X102" s="175"/>
      <c r="Y102" s="175"/>
      <c r="Z102" s="177"/>
      <c r="AA102" s="177"/>
      <c r="AB102" s="175"/>
      <c r="AC102" s="175"/>
      <c r="AD102" s="175"/>
      <c r="AE102" s="175"/>
      <c r="AF102" s="175"/>
      <c r="AG102" s="175"/>
      <c r="AH102" s="184"/>
      <c r="AI102" s="174">
        <f t="shared" ref="AI102" si="112">SUM(D102:AH102)</f>
        <v>0</v>
      </c>
      <c r="AJ102" s="87">
        <f>SUMIF(D104:AH104, "LL", D102:AH102) + SUMIF(D104:AH104, "LL", D103:AH103)</f>
        <v>0</v>
      </c>
      <c r="AK102" s="7"/>
      <c r="AL102" s="7"/>
      <c r="AM102" s="100">
        <f t="shared" ref="AM102" si="113">SUMIF(D104:AH104, "CO", D102:AH102) + SUMIF(D104:AH104, "CO", D103:AH103)</f>
        <v>0</v>
      </c>
      <c r="AN102" s="59">
        <f>SUM(AI102:AM102)</f>
        <v>0</v>
      </c>
      <c r="AO102" s="5"/>
      <c r="AP102" s="73"/>
      <c r="AQ102" s="135"/>
      <c r="AR102" s="5"/>
      <c r="AS102" s="121"/>
      <c r="AT102" s="121"/>
      <c r="AU102" s="121"/>
      <c r="AV102" s="121"/>
      <c r="AW102" s="121"/>
      <c r="AX102" s="121"/>
      <c r="AY102" s="121"/>
      <c r="AZ102" s="121"/>
      <c r="BA102" s="121"/>
      <c r="BB102" s="121"/>
      <c r="BC102" s="121"/>
      <c r="BD102" s="121"/>
      <c r="BE102" s="121"/>
      <c r="BF102" s="121"/>
      <c r="BG102" s="121"/>
      <c r="BH102" s="121"/>
      <c r="BI102" s="121"/>
      <c r="BJ102" s="121"/>
      <c r="BK102" s="121"/>
      <c r="BL102" s="121"/>
      <c r="BM102" s="121"/>
      <c r="BN102" s="121"/>
      <c r="CD102" s="83">
        <f t="shared" si="77"/>
        <v>0</v>
      </c>
      <c r="CE102" s="66">
        <f t="shared" si="78"/>
        <v>0</v>
      </c>
      <c r="CF102" s="83">
        <f t="shared" si="79"/>
        <v>0</v>
      </c>
      <c r="CG102" s="65">
        <f t="shared" si="80"/>
        <v>0</v>
      </c>
      <c r="CH102" s="83">
        <f t="shared" si="81"/>
        <v>0</v>
      </c>
      <c r="CI102" s="65">
        <f t="shared" si="82"/>
        <v>0</v>
      </c>
      <c r="CJ102" s="83">
        <f t="shared" si="83"/>
        <v>0</v>
      </c>
      <c r="CK102" s="65">
        <f t="shared" si="84"/>
        <v>0</v>
      </c>
      <c r="CL102" s="83">
        <f t="shared" si="85"/>
        <v>0</v>
      </c>
      <c r="CM102" s="83">
        <f t="shared" si="86"/>
        <v>0</v>
      </c>
      <c r="CN102" s="117">
        <f t="shared" si="87"/>
        <v>0</v>
      </c>
      <c r="CO102" s="117">
        <f t="shared" si="88"/>
        <v>0</v>
      </c>
      <c r="CP102" s="117">
        <f t="shared" si="89"/>
        <v>0</v>
      </c>
      <c r="CQ102" s="117">
        <f t="shared" si="90"/>
        <v>0</v>
      </c>
      <c r="CS102" s="83">
        <f t="shared" si="91"/>
        <v>0</v>
      </c>
      <c r="CT102" s="83">
        <f t="shared" si="92"/>
        <v>0</v>
      </c>
      <c r="CU102" s="83">
        <f t="shared" si="93"/>
        <v>0</v>
      </c>
      <c r="CV102" s="117">
        <v>0</v>
      </c>
      <c r="CW102" s="117">
        <v>0</v>
      </c>
      <c r="CX102" s="117">
        <v>0</v>
      </c>
      <c r="CY102" s="117">
        <v>0</v>
      </c>
    </row>
    <row r="103" spans="1:103" s="2" customFormat="1" ht="21" x14ac:dyDescent="0.25">
      <c r="A103" s="152"/>
      <c r="B103" s="182"/>
      <c r="C103" s="94" t="s">
        <v>12</v>
      </c>
      <c r="D103" s="180"/>
      <c r="E103" s="180"/>
      <c r="F103" s="176"/>
      <c r="G103" s="178"/>
      <c r="H103" s="176"/>
      <c r="I103" s="176"/>
      <c r="J103" s="176"/>
      <c r="K103" s="176"/>
      <c r="L103" s="176"/>
      <c r="M103" s="176"/>
      <c r="N103" s="178"/>
      <c r="O103" s="176"/>
      <c r="P103" s="176"/>
      <c r="Q103" s="176"/>
      <c r="R103" s="176"/>
      <c r="S103" s="176"/>
      <c r="T103" s="178"/>
      <c r="U103" s="178"/>
      <c r="V103" s="176"/>
      <c r="W103" s="176"/>
      <c r="X103" s="176"/>
      <c r="Y103" s="176"/>
      <c r="Z103" s="178"/>
      <c r="AA103" s="178"/>
      <c r="AB103" s="176"/>
      <c r="AC103" s="176"/>
      <c r="AD103" s="176"/>
      <c r="AE103" s="176"/>
      <c r="AF103" s="176"/>
      <c r="AG103" s="176"/>
      <c r="AH103" s="185"/>
      <c r="AI103" s="169"/>
      <c r="AJ103" s="11"/>
      <c r="AK103" s="7"/>
      <c r="AL103" s="7"/>
      <c r="AM103" s="11"/>
      <c r="AN103" s="59"/>
      <c r="AO103" s="5"/>
      <c r="AP103" s="78"/>
      <c r="AQ103" s="135"/>
      <c r="AR103" s="5"/>
      <c r="AS103" s="121"/>
      <c r="AT103" s="121"/>
      <c r="AU103" s="121"/>
      <c r="AV103" s="121"/>
      <c r="AW103" s="121"/>
      <c r="AX103" s="121"/>
      <c r="AY103" s="121"/>
      <c r="AZ103" s="121"/>
      <c r="BA103" s="121"/>
      <c r="BB103" s="121"/>
      <c r="BC103" s="121"/>
      <c r="BD103" s="121"/>
      <c r="BE103" s="121"/>
      <c r="BF103" s="121"/>
      <c r="BG103" s="121"/>
      <c r="BH103" s="121"/>
      <c r="BI103" s="121"/>
      <c r="BJ103" s="121"/>
      <c r="BK103" s="121"/>
      <c r="BL103" s="121"/>
      <c r="BM103" s="121"/>
      <c r="BN103" s="121"/>
      <c r="CD103" s="83">
        <f t="shared" si="77"/>
        <v>0</v>
      </c>
      <c r="CE103" s="66">
        <f t="shared" si="78"/>
        <v>0</v>
      </c>
      <c r="CF103" s="83">
        <f t="shared" si="79"/>
        <v>0</v>
      </c>
      <c r="CG103" s="65">
        <f t="shared" si="80"/>
        <v>0</v>
      </c>
      <c r="CH103" s="83">
        <f t="shared" si="81"/>
        <v>0</v>
      </c>
      <c r="CI103" s="65">
        <f t="shared" si="82"/>
        <v>0</v>
      </c>
      <c r="CJ103" s="83">
        <f t="shared" si="83"/>
        <v>0</v>
      </c>
      <c r="CK103" s="65">
        <f t="shared" si="84"/>
        <v>0</v>
      </c>
      <c r="CL103" s="83">
        <f t="shared" si="85"/>
        <v>0</v>
      </c>
      <c r="CM103" s="83">
        <f t="shared" si="86"/>
        <v>0</v>
      </c>
      <c r="CN103" s="117">
        <f t="shared" si="87"/>
        <v>0</v>
      </c>
      <c r="CO103" s="117">
        <f t="shared" si="88"/>
        <v>0</v>
      </c>
      <c r="CP103" s="117">
        <f t="shared" si="89"/>
        <v>0</v>
      </c>
      <c r="CQ103" s="117">
        <f t="shared" si="90"/>
        <v>0</v>
      </c>
      <c r="CS103" s="83">
        <f t="shared" si="91"/>
        <v>0</v>
      </c>
      <c r="CT103" s="83">
        <f t="shared" si="92"/>
        <v>0</v>
      </c>
      <c r="CU103" s="83">
        <f t="shared" si="93"/>
        <v>0</v>
      </c>
      <c r="CV103" s="117">
        <v>0</v>
      </c>
      <c r="CW103" s="117">
        <v>0</v>
      </c>
      <c r="CX103" s="117">
        <v>0</v>
      </c>
      <c r="CY103" s="117">
        <v>0</v>
      </c>
    </row>
    <row r="104" spans="1:103" s="2" customFormat="1" ht="22" thickBot="1" x14ac:dyDescent="0.3">
      <c r="A104" s="153"/>
      <c r="B104" s="183"/>
      <c r="C104" s="92" t="s">
        <v>4</v>
      </c>
      <c r="D104" s="95"/>
      <c r="E104" s="95"/>
      <c r="F104" s="95"/>
      <c r="G104" s="96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7"/>
      <c r="AI104" s="36"/>
      <c r="AJ104" s="34"/>
      <c r="AK104" s="7"/>
      <c r="AL104" s="7"/>
      <c r="AM104" s="34"/>
      <c r="AN104" s="59"/>
      <c r="AO104" s="5"/>
      <c r="AP104" s="78"/>
      <c r="AQ104" s="135"/>
      <c r="AR104" s="5"/>
      <c r="AS104" s="121"/>
      <c r="AT104" s="121"/>
      <c r="AU104" s="121"/>
      <c r="AV104" s="121"/>
      <c r="AW104" s="121"/>
      <c r="AX104" s="121"/>
      <c r="AY104" s="121"/>
      <c r="AZ104" s="121"/>
      <c r="BA104" s="121"/>
      <c r="BB104" s="121"/>
      <c r="BC104" s="121"/>
      <c r="BD104" s="121"/>
      <c r="BE104" s="121"/>
      <c r="BF104" s="121"/>
      <c r="BG104" s="121"/>
      <c r="BH104" s="121"/>
      <c r="BI104" s="121"/>
      <c r="BJ104" s="121"/>
      <c r="BK104" s="121"/>
      <c r="BL104" s="121"/>
      <c r="BM104" s="121"/>
      <c r="BN104" s="121"/>
      <c r="CD104" s="83">
        <f t="shared" si="77"/>
        <v>0</v>
      </c>
      <c r="CE104" s="66">
        <f t="shared" si="78"/>
        <v>0</v>
      </c>
      <c r="CF104" s="83">
        <f t="shared" si="79"/>
        <v>0</v>
      </c>
      <c r="CG104" s="65">
        <f t="shared" si="80"/>
        <v>0</v>
      </c>
      <c r="CH104" s="83">
        <f t="shared" si="81"/>
        <v>0</v>
      </c>
      <c r="CI104" s="65">
        <f t="shared" si="82"/>
        <v>0</v>
      </c>
      <c r="CJ104" s="83">
        <f t="shared" si="83"/>
        <v>0</v>
      </c>
      <c r="CK104" s="65">
        <f t="shared" si="84"/>
        <v>0</v>
      </c>
      <c r="CL104" s="83">
        <f t="shared" si="85"/>
        <v>0</v>
      </c>
      <c r="CM104" s="83">
        <f t="shared" si="86"/>
        <v>0</v>
      </c>
      <c r="CN104" s="117">
        <f t="shared" si="87"/>
        <v>0</v>
      </c>
      <c r="CO104" s="117">
        <f t="shared" si="88"/>
        <v>0</v>
      </c>
      <c r="CP104" s="117">
        <f t="shared" si="89"/>
        <v>0</v>
      </c>
      <c r="CQ104" s="117">
        <f t="shared" si="90"/>
        <v>0</v>
      </c>
      <c r="CS104" s="83">
        <f t="shared" si="91"/>
        <v>0</v>
      </c>
      <c r="CT104" s="83">
        <f t="shared" si="92"/>
        <v>0</v>
      </c>
      <c r="CU104" s="83">
        <f t="shared" si="93"/>
        <v>0</v>
      </c>
      <c r="CV104" s="117">
        <v>0</v>
      </c>
      <c r="CW104" s="117">
        <v>0</v>
      </c>
      <c r="CX104" s="117">
        <v>0</v>
      </c>
      <c r="CY104" s="117">
        <v>0</v>
      </c>
    </row>
    <row r="105" spans="1:103" s="2" customFormat="1" ht="20" thickTop="1" x14ac:dyDescent="0.25">
      <c r="A105" s="151">
        <v>33</v>
      </c>
      <c r="B105" s="186"/>
      <c r="C105" s="98" t="s">
        <v>11</v>
      </c>
      <c r="D105" s="179"/>
      <c r="E105" s="179"/>
      <c r="F105" s="175"/>
      <c r="G105" s="177"/>
      <c r="H105" s="175"/>
      <c r="I105" s="175"/>
      <c r="J105" s="175"/>
      <c r="K105" s="175"/>
      <c r="L105" s="175"/>
      <c r="M105" s="175"/>
      <c r="N105" s="177"/>
      <c r="O105" s="175"/>
      <c r="P105" s="175"/>
      <c r="Q105" s="175"/>
      <c r="R105" s="175"/>
      <c r="S105" s="175"/>
      <c r="T105" s="177"/>
      <c r="U105" s="177"/>
      <c r="V105" s="175"/>
      <c r="W105" s="175"/>
      <c r="X105" s="175"/>
      <c r="Y105" s="175"/>
      <c r="Z105" s="177"/>
      <c r="AA105" s="177"/>
      <c r="AB105" s="175"/>
      <c r="AC105" s="175"/>
      <c r="AD105" s="175"/>
      <c r="AE105" s="175"/>
      <c r="AF105" s="175"/>
      <c r="AG105" s="175"/>
      <c r="AH105" s="184"/>
      <c r="AI105" s="168">
        <f t="shared" ref="AI105" si="114">SUM(D105:AH105)</f>
        <v>0</v>
      </c>
      <c r="AJ105" s="86">
        <f>SUMIF(D107:AH107, "LL", D105:AH105) + SUMIF(D107:AH107, "LL", D106:AH106)</f>
        <v>0</v>
      </c>
      <c r="AK105" s="7"/>
      <c r="AL105" s="7"/>
      <c r="AM105" s="99">
        <f t="shared" ref="AM105" si="115">SUMIF(D107:AH107, "CO", D105:AH105) + SUMIF(D107:AH107, "CO", D106:AH106)</f>
        <v>0</v>
      </c>
      <c r="AN105" s="59">
        <f>SUM(AI105:AM105)</f>
        <v>0</v>
      </c>
      <c r="AO105" s="5"/>
      <c r="AP105" s="73"/>
      <c r="AQ105" s="135"/>
      <c r="AR105" s="5"/>
      <c r="AS105" s="121"/>
      <c r="AT105" s="121"/>
      <c r="AU105" s="121"/>
      <c r="AV105" s="121"/>
      <c r="AW105" s="121"/>
      <c r="AX105" s="121"/>
      <c r="AY105" s="121"/>
      <c r="AZ105" s="121"/>
      <c r="BA105" s="121"/>
      <c r="BB105" s="121"/>
      <c r="BC105" s="121"/>
      <c r="BD105" s="121"/>
      <c r="BE105" s="121"/>
      <c r="BF105" s="121"/>
      <c r="BG105" s="121"/>
      <c r="BH105" s="121"/>
      <c r="BI105" s="121"/>
      <c r="BJ105" s="121"/>
      <c r="BK105" s="121"/>
      <c r="BL105" s="121"/>
      <c r="BM105" s="121"/>
      <c r="BN105" s="121"/>
      <c r="CD105" s="83">
        <f t="shared" ref="CD105:CD110" si="116">SUMIF(D107:AH107,"T",D105:AH105)</f>
        <v>0</v>
      </c>
      <c r="CE105" s="66">
        <f t="shared" ref="CE105:CE110" si="117">AP105*CD105</f>
        <v>0</v>
      </c>
      <c r="CF105" s="83">
        <f t="shared" ref="CF105:CF110" si="118">SUMIF(D107:AH107,"VS",D105:AH105)</f>
        <v>0</v>
      </c>
      <c r="CG105" s="65">
        <f t="shared" ref="CG105:CG110" si="119">AP105*CF105</f>
        <v>0</v>
      </c>
      <c r="CH105" s="83">
        <f t="shared" ref="CH105:CH110" si="120">SUMIF(D107:AH107,"Sb",D105:AH105)</f>
        <v>0</v>
      </c>
      <c r="CI105" s="65">
        <f t="shared" ref="CI105:CI110" si="121">AP105*CH105</f>
        <v>0</v>
      </c>
      <c r="CJ105" s="83">
        <f t="shared" ref="CJ105:CJ110" si="122">SUMIF(D107:AH107,"VB",D105:AH105)</f>
        <v>0</v>
      </c>
      <c r="CK105" s="65">
        <f t="shared" ref="CK105:CK110" si="123">AP105*CJ105</f>
        <v>0</v>
      </c>
      <c r="CL105" s="83">
        <f t="shared" ref="CL105:CL110" si="124">SUMIF(D107:AH107,"VCC",D105:AH105)</f>
        <v>0</v>
      </c>
      <c r="CM105" s="83">
        <f t="shared" ref="CM105:CM110" si="125">AP105*CL105</f>
        <v>0</v>
      </c>
      <c r="CN105" s="117">
        <f t="shared" ref="CN105:CN110" si="126">SUMIF(D107:AH107,"VB3",D105:AH105)</f>
        <v>0</v>
      </c>
      <c r="CO105" s="117">
        <f t="shared" ref="CO105:CO110" si="127">AP105*CN105</f>
        <v>0</v>
      </c>
      <c r="CP105" s="117">
        <f t="shared" ref="CP105:CP110" si="128">SUMIF(D107:AH107,"VB14",D105:AH105)</f>
        <v>0</v>
      </c>
      <c r="CQ105" s="117">
        <f t="shared" ref="CQ105:CQ110" si="129">AP105*CP105</f>
        <v>0</v>
      </c>
      <c r="CS105" s="83">
        <f t="shared" si="91"/>
        <v>0</v>
      </c>
      <c r="CT105" s="83">
        <f t="shared" si="92"/>
        <v>0</v>
      </c>
      <c r="CU105" s="83">
        <f t="shared" si="93"/>
        <v>0</v>
      </c>
      <c r="CV105" s="117">
        <v>0</v>
      </c>
      <c r="CW105" s="117">
        <v>0</v>
      </c>
      <c r="CX105" s="117">
        <v>0</v>
      </c>
      <c r="CY105" s="117">
        <v>0</v>
      </c>
    </row>
    <row r="106" spans="1:103" s="2" customFormat="1" ht="21" x14ac:dyDescent="0.25">
      <c r="A106" s="152"/>
      <c r="B106" s="182"/>
      <c r="C106" s="94" t="s">
        <v>12</v>
      </c>
      <c r="D106" s="180"/>
      <c r="E106" s="180"/>
      <c r="F106" s="176"/>
      <c r="G106" s="178"/>
      <c r="H106" s="176"/>
      <c r="I106" s="176"/>
      <c r="J106" s="176"/>
      <c r="K106" s="176"/>
      <c r="L106" s="176"/>
      <c r="M106" s="176"/>
      <c r="N106" s="178"/>
      <c r="O106" s="176"/>
      <c r="P106" s="176"/>
      <c r="Q106" s="176"/>
      <c r="R106" s="176"/>
      <c r="S106" s="176"/>
      <c r="T106" s="178"/>
      <c r="U106" s="178"/>
      <c r="V106" s="176"/>
      <c r="W106" s="176"/>
      <c r="X106" s="176"/>
      <c r="Y106" s="176"/>
      <c r="Z106" s="178"/>
      <c r="AA106" s="178"/>
      <c r="AB106" s="176"/>
      <c r="AC106" s="176"/>
      <c r="AD106" s="176"/>
      <c r="AE106" s="176"/>
      <c r="AF106" s="176"/>
      <c r="AG106" s="176"/>
      <c r="AH106" s="185"/>
      <c r="AI106" s="169"/>
      <c r="AJ106" s="11"/>
      <c r="AK106" s="7"/>
      <c r="AL106" s="7"/>
      <c r="AM106" s="11"/>
      <c r="AN106" s="59"/>
      <c r="AO106" s="5"/>
      <c r="AP106" s="78"/>
      <c r="AQ106" s="135"/>
      <c r="AR106" s="5"/>
      <c r="AS106" s="121"/>
      <c r="AT106" s="121"/>
      <c r="AU106" s="121"/>
      <c r="AV106" s="121"/>
      <c r="AW106" s="121"/>
      <c r="AX106" s="121"/>
      <c r="AY106" s="121"/>
      <c r="AZ106" s="121"/>
      <c r="BA106" s="121"/>
      <c r="BB106" s="121"/>
      <c r="BC106" s="121"/>
      <c r="BD106" s="121"/>
      <c r="BE106" s="121"/>
      <c r="BF106" s="121"/>
      <c r="BG106" s="121"/>
      <c r="BH106" s="121"/>
      <c r="BI106" s="121"/>
      <c r="BJ106" s="121"/>
      <c r="BK106" s="121"/>
      <c r="BL106" s="121"/>
      <c r="BM106" s="121"/>
      <c r="BN106" s="121"/>
      <c r="CD106" s="83">
        <f t="shared" si="116"/>
        <v>0</v>
      </c>
      <c r="CE106" s="66">
        <f t="shared" si="117"/>
        <v>0</v>
      </c>
      <c r="CF106" s="83">
        <f t="shared" si="118"/>
        <v>0</v>
      </c>
      <c r="CG106" s="65">
        <f t="shared" si="119"/>
        <v>0</v>
      </c>
      <c r="CH106" s="83">
        <f t="shared" si="120"/>
        <v>0</v>
      </c>
      <c r="CI106" s="65">
        <f t="shared" si="121"/>
        <v>0</v>
      </c>
      <c r="CJ106" s="83">
        <f t="shared" si="122"/>
        <v>0</v>
      </c>
      <c r="CK106" s="65">
        <f t="shared" si="123"/>
        <v>0</v>
      </c>
      <c r="CL106" s="83">
        <f t="shared" si="124"/>
        <v>0</v>
      </c>
      <c r="CM106" s="83">
        <f t="shared" si="125"/>
        <v>0</v>
      </c>
      <c r="CN106" s="117">
        <f t="shared" si="126"/>
        <v>0</v>
      </c>
      <c r="CO106" s="117">
        <f t="shared" si="127"/>
        <v>0</v>
      </c>
      <c r="CP106" s="117">
        <f t="shared" si="128"/>
        <v>0</v>
      </c>
      <c r="CQ106" s="117">
        <f t="shared" si="129"/>
        <v>0</v>
      </c>
      <c r="CS106" s="83">
        <f t="shared" ref="CS106:CS110" si="130">SUMIF(K108:AO108, "T", K106:AO106) + SUMIF(K108:AO108, "T", K107:AO107)</f>
        <v>0</v>
      </c>
      <c r="CT106" s="83">
        <f t="shared" ref="CT106:CT110" si="131">SUMIF(L108:AP108, "T", L106:AP106) + SUMIF(L108:AP108, "T", L107:AP107)</f>
        <v>0</v>
      </c>
      <c r="CU106" s="83">
        <f t="shared" ref="CU106:CU110" si="132">SUMIF(M108:AQ108, "T", M106:AQ106) + SUMIF(M108:AQ108, "T", M107:AQ107)</f>
        <v>0</v>
      </c>
      <c r="CV106" s="117">
        <v>0</v>
      </c>
      <c r="CW106" s="117">
        <v>0</v>
      </c>
      <c r="CX106" s="117">
        <v>0</v>
      </c>
      <c r="CY106" s="117">
        <v>0</v>
      </c>
    </row>
    <row r="107" spans="1:103" s="2" customFormat="1" ht="22" thickBot="1" x14ac:dyDescent="0.3">
      <c r="A107" s="153"/>
      <c r="B107" s="183"/>
      <c r="C107" s="92" t="s">
        <v>4</v>
      </c>
      <c r="D107" s="95"/>
      <c r="E107" s="95"/>
      <c r="F107" s="95"/>
      <c r="G107" s="96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7"/>
      <c r="AI107" s="36"/>
      <c r="AJ107" s="34"/>
      <c r="AK107" s="7"/>
      <c r="AL107" s="7"/>
      <c r="AM107" s="34"/>
      <c r="AN107" s="59"/>
      <c r="AO107" s="5"/>
      <c r="AP107" s="78"/>
      <c r="AQ107" s="135"/>
      <c r="AR107" s="5"/>
      <c r="AS107" s="121"/>
      <c r="AT107" s="121"/>
      <c r="AU107" s="121"/>
      <c r="AV107" s="121"/>
      <c r="AW107" s="121"/>
      <c r="AX107" s="121"/>
      <c r="AY107" s="121"/>
      <c r="AZ107" s="121"/>
      <c r="BA107" s="121"/>
      <c r="BB107" s="121"/>
      <c r="BC107" s="121"/>
      <c r="BD107" s="121"/>
      <c r="BE107" s="121"/>
      <c r="BF107" s="121"/>
      <c r="BG107" s="121"/>
      <c r="BH107" s="121"/>
      <c r="BI107" s="121"/>
      <c r="BJ107" s="121"/>
      <c r="BK107" s="121"/>
      <c r="BL107" s="121"/>
      <c r="BM107" s="121"/>
      <c r="BN107" s="121"/>
      <c r="CD107" s="83">
        <f t="shared" si="116"/>
        <v>0</v>
      </c>
      <c r="CE107" s="66">
        <f t="shared" si="117"/>
        <v>0</v>
      </c>
      <c r="CF107" s="83">
        <f t="shared" si="118"/>
        <v>0</v>
      </c>
      <c r="CG107" s="65">
        <f t="shared" si="119"/>
        <v>0</v>
      </c>
      <c r="CH107" s="83">
        <f t="shared" si="120"/>
        <v>0</v>
      </c>
      <c r="CI107" s="65">
        <f t="shared" si="121"/>
        <v>0</v>
      </c>
      <c r="CJ107" s="83">
        <f t="shared" si="122"/>
        <v>0</v>
      </c>
      <c r="CK107" s="65">
        <f t="shared" si="123"/>
        <v>0</v>
      </c>
      <c r="CL107" s="83">
        <f t="shared" si="124"/>
        <v>0</v>
      </c>
      <c r="CM107" s="83">
        <f t="shared" si="125"/>
        <v>0</v>
      </c>
      <c r="CN107" s="117">
        <f t="shared" si="126"/>
        <v>0</v>
      </c>
      <c r="CO107" s="117">
        <f t="shared" si="127"/>
        <v>0</v>
      </c>
      <c r="CP107" s="117">
        <f t="shared" si="128"/>
        <v>0</v>
      </c>
      <c r="CQ107" s="117">
        <f t="shared" si="129"/>
        <v>0</v>
      </c>
      <c r="CS107" s="83">
        <f t="shared" si="130"/>
        <v>0</v>
      </c>
      <c r="CT107" s="83">
        <f t="shared" si="131"/>
        <v>0</v>
      </c>
      <c r="CU107" s="83">
        <f t="shared" si="132"/>
        <v>0</v>
      </c>
      <c r="CV107" s="117">
        <v>0</v>
      </c>
      <c r="CW107" s="117">
        <v>0</v>
      </c>
      <c r="CX107" s="117">
        <v>0</v>
      </c>
      <c r="CY107" s="117">
        <v>0</v>
      </c>
    </row>
    <row r="108" spans="1:103" s="2" customFormat="1" ht="20" thickTop="1" x14ac:dyDescent="0.25">
      <c r="A108" s="151">
        <v>34</v>
      </c>
      <c r="B108" s="186"/>
      <c r="C108" s="98" t="s">
        <v>11</v>
      </c>
      <c r="D108" s="179"/>
      <c r="E108" s="179"/>
      <c r="F108" s="175"/>
      <c r="G108" s="177"/>
      <c r="H108" s="175"/>
      <c r="I108" s="175"/>
      <c r="J108" s="175"/>
      <c r="K108" s="175"/>
      <c r="L108" s="175"/>
      <c r="M108" s="175"/>
      <c r="N108" s="177"/>
      <c r="O108" s="175"/>
      <c r="P108" s="175"/>
      <c r="Q108" s="175"/>
      <c r="R108" s="175"/>
      <c r="S108" s="175"/>
      <c r="T108" s="177"/>
      <c r="U108" s="177"/>
      <c r="V108" s="175"/>
      <c r="W108" s="175"/>
      <c r="X108" s="175"/>
      <c r="Y108" s="175"/>
      <c r="Z108" s="177"/>
      <c r="AA108" s="177"/>
      <c r="AB108" s="175"/>
      <c r="AC108" s="175"/>
      <c r="AD108" s="175"/>
      <c r="AE108" s="175"/>
      <c r="AF108" s="175"/>
      <c r="AG108" s="175"/>
      <c r="AH108" s="184"/>
      <c r="AI108" s="174">
        <f t="shared" ref="AI108" si="133">SUM(D108:AH108)</f>
        <v>0</v>
      </c>
      <c r="AJ108" s="87">
        <f>SUMIF(D110:AH110, "LL", D108:AH108) + SUMIF(D110:AH110, "LL", D109:AH109)</f>
        <v>0</v>
      </c>
      <c r="AK108" s="7"/>
      <c r="AL108" s="7"/>
      <c r="AM108" s="100">
        <f t="shared" ref="AM108" si="134">SUMIF(D110:AH110, "CO", D108:AH108) + SUMIF(D110:AH110, "CO", D109:AH109)</f>
        <v>0</v>
      </c>
      <c r="AN108" s="59">
        <f>SUM(AI108:AM108)</f>
        <v>0</v>
      </c>
      <c r="AO108" s="5"/>
      <c r="AP108" s="73"/>
      <c r="AQ108" s="135"/>
      <c r="AR108" s="5"/>
      <c r="AS108" s="121"/>
      <c r="AT108" s="121"/>
      <c r="AU108" s="121"/>
      <c r="AV108" s="121"/>
      <c r="AW108" s="121"/>
      <c r="AX108" s="121"/>
      <c r="AY108" s="121"/>
      <c r="AZ108" s="121"/>
      <c r="BA108" s="121"/>
      <c r="BB108" s="121"/>
      <c r="BC108" s="121"/>
      <c r="BD108" s="121"/>
      <c r="BE108" s="121"/>
      <c r="BF108" s="121"/>
      <c r="BG108" s="121"/>
      <c r="BH108" s="121"/>
      <c r="BI108" s="121"/>
      <c r="BJ108" s="121"/>
      <c r="BK108" s="121"/>
      <c r="BL108" s="121"/>
      <c r="BM108" s="121"/>
      <c r="BN108" s="121"/>
      <c r="CD108" s="83">
        <f t="shared" si="116"/>
        <v>0</v>
      </c>
      <c r="CE108" s="66">
        <f t="shared" si="117"/>
        <v>0</v>
      </c>
      <c r="CF108" s="83">
        <f t="shared" si="118"/>
        <v>0</v>
      </c>
      <c r="CG108" s="65">
        <f t="shared" si="119"/>
        <v>0</v>
      </c>
      <c r="CH108" s="83">
        <f t="shared" si="120"/>
        <v>0</v>
      </c>
      <c r="CI108" s="65">
        <f t="shared" si="121"/>
        <v>0</v>
      </c>
      <c r="CJ108" s="83">
        <f t="shared" si="122"/>
        <v>0</v>
      </c>
      <c r="CK108" s="65">
        <f t="shared" si="123"/>
        <v>0</v>
      </c>
      <c r="CL108" s="83">
        <f t="shared" si="124"/>
        <v>0</v>
      </c>
      <c r="CM108" s="83">
        <f t="shared" si="125"/>
        <v>0</v>
      </c>
      <c r="CN108" s="117">
        <f t="shared" si="126"/>
        <v>0</v>
      </c>
      <c r="CO108" s="117">
        <f t="shared" si="127"/>
        <v>0</v>
      </c>
      <c r="CP108" s="117">
        <f t="shared" si="128"/>
        <v>0</v>
      </c>
      <c r="CQ108" s="117">
        <f t="shared" si="129"/>
        <v>0</v>
      </c>
      <c r="CS108" s="83">
        <f t="shared" si="130"/>
        <v>0</v>
      </c>
      <c r="CT108" s="83">
        <f t="shared" si="131"/>
        <v>0</v>
      </c>
      <c r="CU108" s="83">
        <f t="shared" si="132"/>
        <v>0</v>
      </c>
      <c r="CV108" s="117">
        <v>0</v>
      </c>
      <c r="CW108" s="117">
        <v>0</v>
      </c>
      <c r="CX108" s="117">
        <v>0</v>
      </c>
      <c r="CY108" s="117">
        <v>0</v>
      </c>
    </row>
    <row r="109" spans="1:103" s="2" customFormat="1" ht="21" x14ac:dyDescent="0.25">
      <c r="A109" s="152"/>
      <c r="B109" s="182"/>
      <c r="C109" s="94" t="s">
        <v>12</v>
      </c>
      <c r="D109" s="180"/>
      <c r="E109" s="180"/>
      <c r="F109" s="176"/>
      <c r="G109" s="178"/>
      <c r="H109" s="176"/>
      <c r="I109" s="176"/>
      <c r="J109" s="176"/>
      <c r="K109" s="176"/>
      <c r="L109" s="176"/>
      <c r="M109" s="176"/>
      <c r="N109" s="178"/>
      <c r="O109" s="176"/>
      <c r="P109" s="176"/>
      <c r="Q109" s="176"/>
      <c r="R109" s="176"/>
      <c r="S109" s="176"/>
      <c r="T109" s="178"/>
      <c r="U109" s="178"/>
      <c r="V109" s="176"/>
      <c r="W109" s="176"/>
      <c r="X109" s="176"/>
      <c r="Y109" s="176"/>
      <c r="Z109" s="178"/>
      <c r="AA109" s="178"/>
      <c r="AB109" s="176"/>
      <c r="AC109" s="176"/>
      <c r="AD109" s="176"/>
      <c r="AE109" s="176"/>
      <c r="AF109" s="176"/>
      <c r="AG109" s="176"/>
      <c r="AH109" s="185"/>
      <c r="AI109" s="169"/>
      <c r="AJ109" s="11"/>
      <c r="AK109" s="7"/>
      <c r="AL109" s="7"/>
      <c r="AM109" s="11"/>
      <c r="AN109" s="59"/>
      <c r="AO109" s="5"/>
      <c r="AP109" s="78"/>
      <c r="AQ109" s="135"/>
      <c r="AR109" s="5"/>
      <c r="AS109" s="121"/>
      <c r="AT109" s="121"/>
      <c r="AU109" s="121"/>
      <c r="AV109" s="121"/>
      <c r="AW109" s="121"/>
      <c r="AX109" s="121"/>
      <c r="AY109" s="121"/>
      <c r="AZ109" s="121"/>
      <c r="BA109" s="121"/>
      <c r="BB109" s="121"/>
      <c r="BC109" s="121"/>
      <c r="BD109" s="121"/>
      <c r="BE109" s="121"/>
      <c r="BF109" s="121"/>
      <c r="BG109" s="121"/>
      <c r="BH109" s="121"/>
      <c r="BI109" s="121"/>
      <c r="BJ109" s="121"/>
      <c r="BK109" s="121"/>
      <c r="BL109" s="121"/>
      <c r="BM109" s="121"/>
      <c r="BN109" s="121"/>
      <c r="CD109" s="83">
        <f t="shared" si="116"/>
        <v>0</v>
      </c>
      <c r="CE109" s="66">
        <f t="shared" si="117"/>
        <v>0</v>
      </c>
      <c r="CF109" s="83">
        <f t="shared" si="118"/>
        <v>0</v>
      </c>
      <c r="CG109" s="65">
        <f t="shared" si="119"/>
        <v>0</v>
      </c>
      <c r="CH109" s="83">
        <f t="shared" si="120"/>
        <v>0</v>
      </c>
      <c r="CI109" s="65">
        <f t="shared" si="121"/>
        <v>0</v>
      </c>
      <c r="CJ109" s="83">
        <f t="shared" si="122"/>
        <v>0</v>
      </c>
      <c r="CK109" s="65">
        <f t="shared" si="123"/>
        <v>0</v>
      </c>
      <c r="CL109" s="83">
        <f t="shared" si="124"/>
        <v>0</v>
      </c>
      <c r="CM109" s="83">
        <f t="shared" si="125"/>
        <v>0</v>
      </c>
      <c r="CN109" s="117">
        <f t="shared" si="126"/>
        <v>0</v>
      </c>
      <c r="CO109" s="117">
        <f t="shared" si="127"/>
        <v>0</v>
      </c>
      <c r="CP109" s="117">
        <f t="shared" si="128"/>
        <v>0</v>
      </c>
      <c r="CQ109" s="117">
        <f t="shared" si="129"/>
        <v>0</v>
      </c>
      <c r="CS109" s="83">
        <f t="shared" si="130"/>
        <v>0</v>
      </c>
      <c r="CT109" s="83">
        <f t="shared" si="131"/>
        <v>0</v>
      </c>
      <c r="CU109" s="83">
        <f t="shared" si="132"/>
        <v>0</v>
      </c>
      <c r="CV109" s="117">
        <v>0</v>
      </c>
      <c r="CW109" s="117">
        <v>0</v>
      </c>
      <c r="CX109" s="117">
        <v>0</v>
      </c>
      <c r="CY109" s="117">
        <v>0</v>
      </c>
    </row>
    <row r="110" spans="1:103" s="2" customFormat="1" ht="22" thickBot="1" x14ac:dyDescent="0.3">
      <c r="A110" s="153"/>
      <c r="B110" s="183"/>
      <c r="C110" s="92" t="s">
        <v>4</v>
      </c>
      <c r="D110" s="95"/>
      <c r="E110" s="95"/>
      <c r="F110" s="95"/>
      <c r="G110" s="96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7"/>
      <c r="AI110" s="36"/>
      <c r="AJ110" s="34"/>
      <c r="AK110" s="7"/>
      <c r="AL110" s="7"/>
      <c r="AM110" s="34"/>
      <c r="AN110" s="59"/>
      <c r="AO110" s="5"/>
      <c r="AP110" s="78"/>
      <c r="AQ110" s="135"/>
      <c r="AR110" s="5"/>
      <c r="AS110" s="121"/>
      <c r="AT110" s="121"/>
      <c r="AU110" s="121"/>
      <c r="AV110" s="121"/>
      <c r="AW110" s="121"/>
      <c r="AX110" s="121"/>
      <c r="AY110" s="121"/>
      <c r="AZ110" s="121"/>
      <c r="BA110" s="121"/>
      <c r="BB110" s="121"/>
      <c r="BC110" s="121"/>
      <c r="BD110" s="121"/>
      <c r="BE110" s="121"/>
      <c r="BF110" s="121"/>
      <c r="BG110" s="121"/>
      <c r="BH110" s="121"/>
      <c r="BI110" s="121"/>
      <c r="BJ110" s="121"/>
      <c r="BK110" s="121"/>
      <c r="BL110" s="121"/>
      <c r="BM110" s="121"/>
      <c r="BN110" s="121"/>
      <c r="CD110" s="83">
        <f t="shared" si="116"/>
        <v>0</v>
      </c>
      <c r="CE110" s="66">
        <f t="shared" si="117"/>
        <v>0</v>
      </c>
      <c r="CF110" s="83">
        <f t="shared" si="118"/>
        <v>0</v>
      </c>
      <c r="CG110" s="65">
        <f t="shared" si="119"/>
        <v>0</v>
      </c>
      <c r="CH110" s="83">
        <f t="shared" si="120"/>
        <v>0</v>
      </c>
      <c r="CI110" s="65">
        <f t="shared" si="121"/>
        <v>0</v>
      </c>
      <c r="CJ110" s="83">
        <f t="shared" si="122"/>
        <v>0</v>
      </c>
      <c r="CK110" s="65">
        <f t="shared" si="123"/>
        <v>0</v>
      </c>
      <c r="CL110" s="83">
        <f t="shared" si="124"/>
        <v>0</v>
      </c>
      <c r="CM110" s="83">
        <f t="shared" si="125"/>
        <v>0</v>
      </c>
      <c r="CN110" s="117">
        <f t="shared" si="126"/>
        <v>0</v>
      </c>
      <c r="CO110" s="117">
        <f t="shared" si="127"/>
        <v>0</v>
      </c>
      <c r="CP110" s="117">
        <f t="shared" si="128"/>
        <v>0</v>
      </c>
      <c r="CQ110" s="117">
        <f t="shared" si="129"/>
        <v>0</v>
      </c>
      <c r="CS110" s="83">
        <f t="shared" si="130"/>
        <v>0</v>
      </c>
      <c r="CT110" s="83">
        <f t="shared" si="131"/>
        <v>0</v>
      </c>
      <c r="CU110" s="83">
        <f t="shared" si="132"/>
        <v>0</v>
      </c>
      <c r="CV110" s="117">
        <v>0</v>
      </c>
      <c r="CW110" s="117">
        <v>0</v>
      </c>
      <c r="CX110" s="117">
        <v>0</v>
      </c>
      <c r="CY110" s="117">
        <v>0</v>
      </c>
    </row>
    <row r="111" spans="1:103" s="2" customFormat="1" ht="21" thickTop="1" thickBot="1" x14ac:dyDescent="0.3">
      <c r="A111" s="151">
        <v>35</v>
      </c>
      <c r="B111" s="148"/>
      <c r="C111" s="91" t="s">
        <v>11</v>
      </c>
      <c r="D111" s="146"/>
      <c r="E111" s="146"/>
      <c r="F111" s="140"/>
      <c r="G111" s="144"/>
      <c r="H111" s="142"/>
      <c r="I111" s="142"/>
      <c r="J111" s="140"/>
      <c r="K111" s="140"/>
      <c r="L111" s="140"/>
      <c r="M111" s="140"/>
      <c r="N111" s="144"/>
      <c r="O111" s="142"/>
      <c r="P111" s="142"/>
      <c r="Q111" s="140"/>
      <c r="R111" s="140"/>
      <c r="S111" s="140"/>
      <c r="T111" s="158"/>
      <c r="U111" s="144"/>
      <c r="V111" s="142"/>
      <c r="W111" s="142"/>
      <c r="X111" s="140"/>
      <c r="Y111" s="140"/>
      <c r="Z111" s="144"/>
      <c r="AA111" s="144"/>
      <c r="AB111" s="140"/>
      <c r="AC111" s="142"/>
      <c r="AD111" s="142"/>
      <c r="AE111" s="142"/>
      <c r="AF111" s="142"/>
      <c r="AG111" s="140"/>
      <c r="AH111" s="156"/>
      <c r="AI111" s="154">
        <f>SUM(D111:AH111)</f>
        <v>0</v>
      </c>
      <c r="AJ111" s="86">
        <f>SUMIF(D113:AH113, "LL", D111:AH111) + SUMIF(D113:AH113, "LL", D112:AH112)</f>
        <v>0</v>
      </c>
      <c r="AK111" s="31"/>
      <c r="AL111" s="31"/>
      <c r="AM111" s="99">
        <f>SUMIF(D113:AH113, "CO", D111:AH111) + SUMIF(D113:AH113, "CO", D112:AH112)</f>
        <v>0</v>
      </c>
      <c r="AN111" s="51">
        <f>SUM(AI111:AM111)</f>
        <v>0</v>
      </c>
      <c r="AO111" s="106"/>
      <c r="AP111" s="68"/>
      <c r="AQ111" s="133"/>
      <c r="AR111" s="40"/>
      <c r="AS111" s="120"/>
      <c r="AT111" s="120"/>
      <c r="AU111" s="120"/>
      <c r="AV111" s="120"/>
      <c r="AW111" s="120"/>
      <c r="AX111" s="120"/>
      <c r="AY111" s="120"/>
      <c r="AZ111" s="120"/>
      <c r="BA111" s="120"/>
      <c r="BB111" s="120"/>
      <c r="BC111" s="120"/>
      <c r="BD111" s="120"/>
      <c r="BE111" s="120"/>
      <c r="BF111" s="120"/>
      <c r="BG111" s="120"/>
      <c r="BH111" s="120"/>
      <c r="BI111" s="120"/>
      <c r="BJ111" s="120"/>
      <c r="BK111" s="120"/>
      <c r="BL111" s="120"/>
      <c r="BM111" s="120"/>
      <c r="BN111" s="120"/>
      <c r="BO111"/>
      <c r="BP111"/>
      <c r="BQ111"/>
      <c r="BR111"/>
      <c r="BS111"/>
    </row>
    <row r="112" spans="1:103" s="2" customFormat="1" ht="20" thickBot="1" x14ac:dyDescent="0.3">
      <c r="A112" s="152"/>
      <c r="B112" s="149"/>
      <c r="C112" s="3" t="s">
        <v>12</v>
      </c>
      <c r="D112" s="147"/>
      <c r="E112" s="147"/>
      <c r="F112" s="141"/>
      <c r="G112" s="145"/>
      <c r="H112" s="143"/>
      <c r="I112" s="143"/>
      <c r="J112" s="141"/>
      <c r="K112" s="141"/>
      <c r="L112" s="141"/>
      <c r="M112" s="141"/>
      <c r="N112" s="145"/>
      <c r="O112" s="143"/>
      <c r="P112" s="143"/>
      <c r="Q112" s="141"/>
      <c r="R112" s="141"/>
      <c r="S112" s="141"/>
      <c r="T112" s="159"/>
      <c r="U112" s="145"/>
      <c r="V112" s="143"/>
      <c r="W112" s="143"/>
      <c r="X112" s="141"/>
      <c r="Y112" s="141"/>
      <c r="Z112" s="145"/>
      <c r="AA112" s="145"/>
      <c r="AB112" s="141"/>
      <c r="AC112" s="143"/>
      <c r="AD112" s="143"/>
      <c r="AE112" s="143"/>
      <c r="AF112" s="143"/>
      <c r="AG112" s="141"/>
      <c r="AH112" s="157"/>
      <c r="AI112" s="155"/>
      <c r="AJ112" s="11"/>
      <c r="AK112" s="11"/>
      <c r="AL112" s="11"/>
      <c r="AM112" s="11"/>
      <c r="AN112" s="52"/>
      <c r="AO112" s="24"/>
      <c r="AP112" s="69"/>
      <c r="AQ112" s="133"/>
      <c r="AR112" s="40"/>
      <c r="AS112" s="120"/>
      <c r="AT112" s="120"/>
      <c r="AU112" s="120"/>
      <c r="AV112" s="120"/>
      <c r="AW112" s="120"/>
      <c r="AX112" s="120"/>
      <c r="AY112" s="120"/>
      <c r="AZ112" s="120"/>
      <c r="BA112" s="120"/>
      <c r="BB112" s="120"/>
      <c r="BC112" s="120"/>
      <c r="BD112" s="120"/>
      <c r="BE112" s="120"/>
      <c r="BF112" s="120"/>
      <c r="BG112" s="120"/>
      <c r="BH112" s="120"/>
      <c r="BI112" s="120"/>
      <c r="BJ112" s="120"/>
      <c r="BK112" s="120"/>
      <c r="BL112" s="120"/>
      <c r="BM112" s="120"/>
      <c r="BN112" s="120"/>
      <c r="BO112"/>
      <c r="BP112"/>
      <c r="BQ112"/>
      <c r="BR112"/>
      <c r="BS112"/>
    </row>
    <row r="113" spans="1:71" s="2" customFormat="1" ht="20" thickBot="1" x14ac:dyDescent="0.3">
      <c r="A113" s="153"/>
      <c r="B113" s="150"/>
      <c r="C113" s="92" t="s">
        <v>4</v>
      </c>
      <c r="D113" s="88"/>
      <c r="E113" s="88"/>
      <c r="F113" s="88"/>
      <c r="G113" s="89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88"/>
      <c r="AC113" s="88"/>
      <c r="AD113" s="88"/>
      <c r="AE113" s="88"/>
      <c r="AF113" s="88"/>
      <c r="AG113" s="88"/>
      <c r="AH113" s="90"/>
      <c r="AI113" s="36"/>
      <c r="AJ113" s="34"/>
      <c r="AK113" s="34"/>
      <c r="AL113" s="34"/>
      <c r="AM113" s="34"/>
      <c r="AN113" s="53"/>
      <c r="AO113" s="25"/>
      <c r="AP113" s="70"/>
      <c r="AQ113" s="133"/>
      <c r="AR113" s="40"/>
      <c r="AS113" s="120"/>
      <c r="AT113" s="120"/>
      <c r="AU113" s="120"/>
      <c r="AV113" s="120"/>
      <c r="AW113" s="120"/>
      <c r="AX113" s="120"/>
      <c r="AY113" s="120"/>
      <c r="AZ113" s="120"/>
      <c r="BA113" s="120"/>
      <c r="BB113" s="120"/>
      <c r="BC113" s="120"/>
      <c r="BD113" s="120"/>
      <c r="BE113" s="120"/>
      <c r="BF113" s="120"/>
      <c r="BG113" s="120"/>
      <c r="BH113" s="120"/>
      <c r="BI113" s="120"/>
      <c r="BJ113" s="120"/>
      <c r="BK113" s="120"/>
      <c r="BL113" s="120"/>
      <c r="BM113" s="120"/>
      <c r="BN113" s="120"/>
      <c r="BO113"/>
      <c r="BP113"/>
      <c r="BQ113"/>
      <c r="BR113"/>
      <c r="BS113"/>
    </row>
    <row r="114" spans="1:71" s="2" customFormat="1" ht="21" thickTop="1" thickBot="1" x14ac:dyDescent="0.3">
      <c r="A114" s="151">
        <v>36</v>
      </c>
      <c r="B114" s="148"/>
      <c r="C114" s="91" t="s">
        <v>11</v>
      </c>
      <c r="D114" s="146"/>
      <c r="E114" s="146"/>
      <c r="F114" s="140"/>
      <c r="G114" s="144"/>
      <c r="H114" s="142"/>
      <c r="I114" s="142"/>
      <c r="J114" s="140"/>
      <c r="K114" s="140"/>
      <c r="L114" s="140"/>
      <c r="M114" s="140"/>
      <c r="N114" s="144"/>
      <c r="O114" s="142"/>
      <c r="P114" s="142"/>
      <c r="Q114" s="140"/>
      <c r="R114" s="140"/>
      <c r="S114" s="140"/>
      <c r="T114" s="158"/>
      <c r="U114" s="144"/>
      <c r="V114" s="142"/>
      <c r="W114" s="142"/>
      <c r="X114" s="140"/>
      <c r="Y114" s="140"/>
      <c r="Z114" s="144"/>
      <c r="AA114" s="144"/>
      <c r="AB114" s="140"/>
      <c r="AC114" s="142"/>
      <c r="AD114" s="142"/>
      <c r="AE114" s="142"/>
      <c r="AF114" s="142"/>
      <c r="AG114" s="140"/>
      <c r="AH114" s="156"/>
      <c r="AI114" s="154">
        <f>SUM(D114:AH114)</f>
        <v>0</v>
      </c>
      <c r="AJ114" s="87">
        <f>SUMIF(D116:AH116, "LL", D114:AH114) + SUMIF(D116:AH116, "LL", D115:AH115)</f>
        <v>0</v>
      </c>
      <c r="AK114" s="39"/>
      <c r="AL114" s="39"/>
      <c r="AM114" s="100">
        <f>SUMIF(D116:AH116, "CO", D114:AH114) + SUMIF(D116:AH116, "CO", D115:AH115)</f>
        <v>0</v>
      </c>
      <c r="AN114" s="54">
        <f>SUM(AI114:AM114)</f>
        <v>0</v>
      </c>
      <c r="AO114" s="107"/>
      <c r="AP114" s="71"/>
      <c r="AQ114" s="133"/>
      <c r="AR114" s="40"/>
      <c r="AS114" s="120"/>
      <c r="AT114" s="120"/>
      <c r="AU114" s="120"/>
      <c r="AV114" s="120"/>
      <c r="AW114" s="120"/>
      <c r="AX114" s="120"/>
      <c r="AY114" s="120"/>
      <c r="AZ114" s="120"/>
      <c r="BA114" s="120"/>
      <c r="BB114" s="120"/>
      <c r="BC114" s="120"/>
      <c r="BD114" s="120"/>
      <c r="BE114" s="120"/>
      <c r="BF114" s="120"/>
      <c r="BG114" s="120"/>
      <c r="BH114" s="120"/>
      <c r="BI114" s="120"/>
      <c r="BJ114" s="120"/>
      <c r="BK114" s="120"/>
      <c r="BL114" s="120"/>
      <c r="BM114" s="120"/>
      <c r="BN114" s="120"/>
      <c r="BO114"/>
      <c r="BP114"/>
      <c r="BQ114"/>
      <c r="BR114"/>
      <c r="BS114"/>
    </row>
    <row r="115" spans="1:71" s="2" customFormat="1" ht="20" thickBot="1" x14ac:dyDescent="0.3">
      <c r="A115" s="152"/>
      <c r="B115" s="149"/>
      <c r="C115" s="3" t="s">
        <v>12</v>
      </c>
      <c r="D115" s="147"/>
      <c r="E115" s="147"/>
      <c r="F115" s="141"/>
      <c r="G115" s="145"/>
      <c r="H115" s="143"/>
      <c r="I115" s="143"/>
      <c r="J115" s="141"/>
      <c r="K115" s="141"/>
      <c r="L115" s="141"/>
      <c r="M115" s="141"/>
      <c r="N115" s="145"/>
      <c r="O115" s="143"/>
      <c r="P115" s="143"/>
      <c r="Q115" s="141"/>
      <c r="R115" s="141"/>
      <c r="S115" s="141"/>
      <c r="T115" s="159"/>
      <c r="U115" s="145"/>
      <c r="V115" s="143"/>
      <c r="W115" s="143"/>
      <c r="X115" s="141"/>
      <c r="Y115" s="141"/>
      <c r="Z115" s="145"/>
      <c r="AA115" s="145"/>
      <c r="AB115" s="141"/>
      <c r="AC115" s="143"/>
      <c r="AD115" s="143"/>
      <c r="AE115" s="143"/>
      <c r="AF115" s="143"/>
      <c r="AG115" s="141"/>
      <c r="AH115" s="157"/>
      <c r="AI115" s="155"/>
      <c r="AJ115" s="11"/>
      <c r="AK115" s="11"/>
      <c r="AL115" s="11"/>
      <c r="AM115" s="11"/>
      <c r="AN115" s="52"/>
      <c r="AO115" s="24"/>
      <c r="AP115" s="69"/>
      <c r="AQ115" s="133"/>
      <c r="AR115" s="43"/>
      <c r="AS115" s="120"/>
      <c r="AT115" s="120"/>
      <c r="AU115" s="120"/>
      <c r="AV115" s="120"/>
      <c r="AW115" s="120"/>
      <c r="AX115" s="120"/>
      <c r="AY115" s="120"/>
      <c r="AZ115" s="120"/>
      <c r="BA115" s="120"/>
      <c r="BB115" s="120"/>
      <c r="BC115" s="120"/>
      <c r="BD115" s="120"/>
      <c r="BE115" s="120"/>
      <c r="BF115" s="120"/>
      <c r="BG115" s="120"/>
      <c r="BH115" s="120"/>
      <c r="BI115" s="120"/>
      <c r="BJ115" s="120"/>
      <c r="BK115" s="120"/>
      <c r="BL115" s="120"/>
      <c r="BM115" s="120"/>
      <c r="BN115" s="120"/>
      <c r="BO115"/>
      <c r="BP115"/>
      <c r="BQ115"/>
      <c r="BR115"/>
      <c r="BS115"/>
    </row>
    <row r="116" spans="1:71" s="2" customFormat="1" ht="20" thickBot="1" x14ac:dyDescent="0.3">
      <c r="A116" s="153"/>
      <c r="B116" s="150"/>
      <c r="C116" s="92" t="s">
        <v>4</v>
      </c>
      <c r="D116" s="88"/>
      <c r="E116" s="88"/>
      <c r="F116" s="88"/>
      <c r="G116" s="89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  <c r="AH116" s="90"/>
      <c r="AI116" s="36"/>
      <c r="AJ116" s="34"/>
      <c r="AK116" s="34"/>
      <c r="AL116" s="34"/>
      <c r="AM116" s="34"/>
      <c r="AN116" s="53"/>
      <c r="AO116" s="25"/>
      <c r="AP116" s="70"/>
      <c r="AQ116" s="133"/>
      <c r="AR116" s="43"/>
      <c r="AS116" s="120"/>
      <c r="AT116" s="120"/>
      <c r="AU116" s="120"/>
      <c r="AV116" s="120"/>
      <c r="AW116" s="120"/>
      <c r="AX116" s="120"/>
      <c r="AY116" s="120"/>
      <c r="AZ116" s="120"/>
      <c r="BA116" s="120"/>
      <c r="BB116" s="120"/>
      <c r="BC116" s="120"/>
      <c r="BD116" s="120"/>
      <c r="BE116" s="120"/>
      <c r="BF116" s="120"/>
      <c r="BG116" s="120"/>
      <c r="BH116" s="120"/>
      <c r="BI116" s="120"/>
      <c r="BJ116" s="120"/>
      <c r="BK116" s="120"/>
      <c r="BL116" s="120"/>
      <c r="BM116" s="120"/>
      <c r="BN116" s="120"/>
      <c r="BO116"/>
      <c r="BP116"/>
      <c r="BQ116"/>
      <c r="BR116"/>
      <c r="BS116"/>
    </row>
    <row r="117" spans="1:71" s="2" customFormat="1" ht="21" thickTop="1" thickBot="1" x14ac:dyDescent="0.3">
      <c r="A117" s="151">
        <v>37</v>
      </c>
      <c r="B117" s="148"/>
      <c r="C117" s="91" t="s">
        <v>11</v>
      </c>
      <c r="D117" s="146"/>
      <c r="E117" s="146"/>
      <c r="F117" s="140"/>
      <c r="G117" s="144"/>
      <c r="H117" s="142"/>
      <c r="I117" s="142"/>
      <c r="J117" s="140"/>
      <c r="K117" s="140"/>
      <c r="L117" s="140"/>
      <c r="M117" s="140"/>
      <c r="N117" s="144"/>
      <c r="O117" s="142"/>
      <c r="P117" s="142"/>
      <c r="Q117" s="140"/>
      <c r="R117" s="140"/>
      <c r="S117" s="140"/>
      <c r="T117" s="158"/>
      <c r="U117" s="144"/>
      <c r="V117" s="142"/>
      <c r="W117" s="142"/>
      <c r="X117" s="140"/>
      <c r="Y117" s="140"/>
      <c r="Z117" s="144"/>
      <c r="AA117" s="144"/>
      <c r="AB117" s="140"/>
      <c r="AC117" s="142"/>
      <c r="AD117" s="142"/>
      <c r="AE117" s="142"/>
      <c r="AF117" s="142"/>
      <c r="AG117" s="140"/>
      <c r="AH117" s="156"/>
      <c r="AI117" s="154">
        <f t="shared" ref="AI117" si="135">SUM(D117:AH117)</f>
        <v>0</v>
      </c>
      <c r="AJ117" s="86">
        <f>SUMIF(D119:AH119, "LL", D117:AH117) + SUMIF(D119:AH119, "LL", D118:AH118)</f>
        <v>0</v>
      </c>
      <c r="AK117" s="32"/>
      <c r="AL117" s="8"/>
      <c r="AM117" s="99">
        <f t="shared" ref="AM117" si="136">SUMIF(D119:AH119, "CO", D117:AH117) + SUMIF(D119:AH119, "CO", D118:AH118)</f>
        <v>0</v>
      </c>
      <c r="AN117" s="55">
        <f>SUM(AI117:AM117)</f>
        <v>0</v>
      </c>
      <c r="AO117" s="8"/>
      <c r="AP117" s="72"/>
      <c r="AQ117" s="133"/>
      <c r="AR117" s="44"/>
      <c r="AS117" s="120"/>
      <c r="AT117" s="120"/>
      <c r="AU117" s="120"/>
      <c r="AV117" s="120"/>
      <c r="AW117" s="120"/>
      <c r="AX117" s="120"/>
      <c r="AY117" s="120"/>
      <c r="AZ117" s="120"/>
      <c r="BA117" s="120"/>
      <c r="BB117" s="120"/>
      <c r="BC117" s="120"/>
      <c r="BD117" s="120"/>
      <c r="BE117" s="120"/>
      <c r="BF117" s="120"/>
      <c r="BG117" s="120"/>
      <c r="BH117" s="120"/>
      <c r="BI117" s="120"/>
      <c r="BJ117" s="120"/>
      <c r="BK117" s="120"/>
      <c r="BL117" s="120"/>
      <c r="BM117" s="120"/>
      <c r="BN117" s="120"/>
      <c r="BO117"/>
      <c r="BP117"/>
      <c r="BQ117"/>
      <c r="BR117"/>
      <c r="BS117"/>
    </row>
    <row r="118" spans="1:71" s="2" customFormat="1" ht="20" thickBot="1" x14ac:dyDescent="0.3">
      <c r="A118" s="152"/>
      <c r="B118" s="149"/>
      <c r="C118" s="3" t="s">
        <v>12</v>
      </c>
      <c r="D118" s="147"/>
      <c r="E118" s="147"/>
      <c r="F118" s="141"/>
      <c r="G118" s="145"/>
      <c r="H118" s="143"/>
      <c r="I118" s="143"/>
      <c r="J118" s="141"/>
      <c r="K118" s="141"/>
      <c r="L118" s="141"/>
      <c r="M118" s="141"/>
      <c r="N118" s="145"/>
      <c r="O118" s="143"/>
      <c r="P118" s="143"/>
      <c r="Q118" s="141"/>
      <c r="R118" s="141"/>
      <c r="S118" s="141"/>
      <c r="T118" s="159"/>
      <c r="U118" s="145"/>
      <c r="V118" s="143"/>
      <c r="W118" s="143"/>
      <c r="X118" s="141"/>
      <c r="Y118" s="141"/>
      <c r="Z118" s="145"/>
      <c r="AA118" s="145"/>
      <c r="AB118" s="141"/>
      <c r="AC118" s="143"/>
      <c r="AD118" s="143"/>
      <c r="AE118" s="143"/>
      <c r="AF118" s="143"/>
      <c r="AG118" s="141"/>
      <c r="AH118" s="157"/>
      <c r="AI118" s="155"/>
      <c r="AJ118" s="11"/>
      <c r="AK118" s="21"/>
      <c r="AL118" s="7"/>
      <c r="AM118" s="11"/>
      <c r="AN118" s="56"/>
      <c r="AO118" s="5"/>
      <c r="AP118" s="73"/>
      <c r="AQ118" s="133"/>
      <c r="AR118" s="5"/>
      <c r="AS118" s="120"/>
      <c r="AT118" s="120"/>
      <c r="AU118" s="120"/>
      <c r="AV118" s="120"/>
      <c r="AW118" s="120"/>
      <c r="AX118" s="120"/>
      <c r="AY118" s="120"/>
      <c r="AZ118" s="120"/>
      <c r="BA118" s="120"/>
      <c r="BB118" s="120"/>
      <c r="BC118" s="120"/>
      <c r="BD118" s="120"/>
      <c r="BE118" s="120"/>
      <c r="BF118" s="120"/>
      <c r="BG118" s="120"/>
      <c r="BH118" s="120"/>
      <c r="BI118" s="120"/>
      <c r="BJ118" s="120"/>
      <c r="BK118" s="120"/>
      <c r="BL118" s="120"/>
      <c r="BM118" s="120"/>
      <c r="BN118" s="120"/>
      <c r="BO118"/>
      <c r="BP118"/>
      <c r="BQ118"/>
      <c r="BR118"/>
      <c r="BS118"/>
    </row>
    <row r="119" spans="1:71" s="2" customFormat="1" ht="20" thickBot="1" x14ac:dyDescent="0.3">
      <c r="A119" s="153"/>
      <c r="B119" s="150"/>
      <c r="C119" s="92" t="s">
        <v>4</v>
      </c>
      <c r="D119" s="88"/>
      <c r="E119" s="88"/>
      <c r="F119" s="88"/>
      <c r="G119" s="89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88"/>
      <c r="AC119" s="88"/>
      <c r="AD119" s="88"/>
      <c r="AE119" s="88"/>
      <c r="AF119" s="88"/>
      <c r="AG119" s="88"/>
      <c r="AH119" s="90"/>
      <c r="AI119" s="36"/>
      <c r="AJ119" s="34"/>
      <c r="AK119" s="33"/>
      <c r="AL119" s="28"/>
      <c r="AM119" s="34"/>
      <c r="AN119" s="57"/>
      <c r="AO119" s="30"/>
      <c r="AP119" s="74"/>
      <c r="AQ119" s="133"/>
      <c r="AR119" s="5"/>
      <c r="AS119" s="120"/>
      <c r="AT119" s="120"/>
      <c r="AU119" s="120"/>
      <c r="AV119" s="120"/>
      <c r="AW119" s="120"/>
      <c r="AX119" s="120"/>
      <c r="AY119" s="120"/>
      <c r="AZ119" s="120"/>
      <c r="BA119" s="120"/>
      <c r="BB119" s="120"/>
      <c r="BC119" s="120"/>
      <c r="BD119" s="120"/>
      <c r="BE119" s="120"/>
      <c r="BF119" s="120"/>
      <c r="BG119" s="120"/>
      <c r="BH119" s="120"/>
      <c r="BI119" s="120"/>
      <c r="BJ119" s="120"/>
      <c r="BK119" s="120"/>
      <c r="BL119" s="120"/>
      <c r="BM119" s="120"/>
      <c r="BN119" s="120"/>
      <c r="BO119"/>
      <c r="BP119"/>
      <c r="BQ119"/>
      <c r="BR119"/>
      <c r="BS119"/>
    </row>
    <row r="120" spans="1:71" s="2" customFormat="1" ht="21" thickTop="1" thickBot="1" x14ac:dyDescent="0.3">
      <c r="A120" s="151">
        <v>38</v>
      </c>
      <c r="B120" s="148"/>
      <c r="C120" s="91" t="s">
        <v>11</v>
      </c>
      <c r="D120" s="146"/>
      <c r="E120" s="146"/>
      <c r="F120" s="140"/>
      <c r="G120" s="144"/>
      <c r="H120" s="142"/>
      <c r="I120" s="142"/>
      <c r="J120" s="140"/>
      <c r="K120" s="140"/>
      <c r="L120" s="140"/>
      <c r="M120" s="140"/>
      <c r="N120" s="144"/>
      <c r="O120" s="142"/>
      <c r="P120" s="142"/>
      <c r="Q120" s="140"/>
      <c r="R120" s="140"/>
      <c r="S120" s="140"/>
      <c r="T120" s="158"/>
      <c r="U120" s="144"/>
      <c r="V120" s="142"/>
      <c r="W120" s="142"/>
      <c r="X120" s="140"/>
      <c r="Y120" s="140"/>
      <c r="Z120" s="144"/>
      <c r="AA120" s="144"/>
      <c r="AB120" s="140"/>
      <c r="AC120" s="142"/>
      <c r="AD120" s="142"/>
      <c r="AE120" s="142"/>
      <c r="AF120" s="142"/>
      <c r="AG120" s="140"/>
      <c r="AH120" s="156"/>
      <c r="AI120" s="154">
        <f t="shared" ref="AI120" si="137">SUM(D120:AH120)</f>
        <v>0</v>
      </c>
      <c r="AJ120" s="87">
        <f>SUMIF(D122:AH122, "LL", D120:AH120) + SUMIF(D122:AH122, "LL", D121:AH121)</f>
        <v>0</v>
      </c>
      <c r="AK120" s="12"/>
      <c r="AL120" s="18"/>
      <c r="AM120" s="100">
        <f t="shared" ref="AM120" si="138">SUMIF(D122:AH122, "CO", D120:AH120) + SUMIF(D122:AH122, "CO", D121:AH121)</f>
        <v>0</v>
      </c>
      <c r="AN120" s="58">
        <f>SUM(AI120:AM120)</f>
        <v>0</v>
      </c>
      <c r="AO120" s="17"/>
      <c r="AP120" s="75"/>
      <c r="AQ120" s="133"/>
      <c r="AR120" s="45"/>
      <c r="AS120" s="120"/>
      <c r="AT120" s="120"/>
      <c r="AU120" s="120"/>
      <c r="AV120" s="120"/>
      <c r="AW120" s="120"/>
      <c r="AX120" s="120"/>
      <c r="AY120" s="120"/>
      <c r="AZ120" s="120"/>
      <c r="BA120" s="120"/>
      <c r="BB120" s="120"/>
      <c r="BC120" s="120"/>
      <c r="BD120" s="120"/>
      <c r="BE120" s="120"/>
      <c r="BF120" s="120"/>
      <c r="BG120" s="120"/>
      <c r="BH120" s="120"/>
      <c r="BI120" s="120"/>
      <c r="BJ120" s="120"/>
      <c r="BK120" s="120"/>
      <c r="BL120" s="120"/>
      <c r="BM120" s="120"/>
      <c r="BN120" s="120"/>
      <c r="BO120"/>
      <c r="BP120"/>
      <c r="BQ120"/>
      <c r="BR120"/>
      <c r="BS120"/>
    </row>
    <row r="121" spans="1:71" s="2" customFormat="1" ht="20" thickBot="1" x14ac:dyDescent="0.3">
      <c r="A121" s="152"/>
      <c r="B121" s="149"/>
      <c r="C121" s="3" t="s">
        <v>12</v>
      </c>
      <c r="D121" s="147"/>
      <c r="E121" s="147"/>
      <c r="F121" s="141"/>
      <c r="G121" s="145"/>
      <c r="H121" s="143"/>
      <c r="I121" s="143"/>
      <c r="J121" s="141"/>
      <c r="K121" s="141"/>
      <c r="L121" s="141"/>
      <c r="M121" s="141"/>
      <c r="N121" s="145"/>
      <c r="O121" s="143"/>
      <c r="P121" s="143"/>
      <c r="Q121" s="141"/>
      <c r="R121" s="141"/>
      <c r="S121" s="141"/>
      <c r="T121" s="159"/>
      <c r="U121" s="145"/>
      <c r="V121" s="143"/>
      <c r="W121" s="143"/>
      <c r="X121" s="141"/>
      <c r="Y121" s="141"/>
      <c r="Z121" s="145"/>
      <c r="AA121" s="145"/>
      <c r="AB121" s="141"/>
      <c r="AC121" s="143"/>
      <c r="AD121" s="143"/>
      <c r="AE121" s="143"/>
      <c r="AF121" s="143"/>
      <c r="AG121" s="141"/>
      <c r="AH121" s="157"/>
      <c r="AI121" s="155"/>
      <c r="AJ121" s="11"/>
      <c r="AK121" s="10"/>
      <c r="AL121" s="7"/>
      <c r="AM121" s="11"/>
      <c r="AN121" s="59"/>
      <c r="AO121" s="5"/>
      <c r="AP121" s="73"/>
      <c r="AQ121" s="133"/>
      <c r="AR121" s="5"/>
      <c r="AS121" s="120"/>
      <c r="AT121" s="120"/>
      <c r="AU121" s="120"/>
      <c r="AV121" s="120"/>
      <c r="AW121" s="120"/>
      <c r="AX121" s="120"/>
      <c r="AY121" s="120"/>
      <c r="AZ121" s="120"/>
      <c r="BA121" s="120"/>
      <c r="BB121" s="120"/>
      <c r="BC121" s="120"/>
      <c r="BD121" s="120"/>
      <c r="BE121" s="120"/>
      <c r="BF121" s="120"/>
      <c r="BG121" s="120"/>
      <c r="BH121" s="120"/>
      <c r="BI121" s="120"/>
      <c r="BJ121" s="120"/>
      <c r="BK121" s="120"/>
      <c r="BL121" s="120"/>
      <c r="BM121" s="120"/>
      <c r="BN121" s="120"/>
      <c r="BO121"/>
      <c r="BP121"/>
      <c r="BQ121"/>
      <c r="BR121"/>
      <c r="BS121"/>
    </row>
    <row r="122" spans="1:71" s="2" customFormat="1" ht="20" thickBot="1" x14ac:dyDescent="0.3">
      <c r="A122" s="153"/>
      <c r="B122" s="150"/>
      <c r="C122" s="92" t="s">
        <v>4</v>
      </c>
      <c r="D122" s="88"/>
      <c r="E122" s="88"/>
      <c r="F122" s="88"/>
      <c r="G122" s="89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88"/>
      <c r="AC122" s="88"/>
      <c r="AD122" s="88"/>
      <c r="AE122" s="88"/>
      <c r="AF122" s="88"/>
      <c r="AG122" s="88"/>
      <c r="AH122" s="90"/>
      <c r="AI122" s="36"/>
      <c r="AJ122" s="34"/>
      <c r="AK122" s="29"/>
      <c r="AL122" s="28"/>
      <c r="AM122" s="34"/>
      <c r="AN122" s="60"/>
      <c r="AO122" s="30"/>
      <c r="AP122" s="74"/>
      <c r="AQ122" s="133"/>
      <c r="AR122" s="5"/>
      <c r="AS122" s="120"/>
      <c r="AT122" s="120"/>
      <c r="AU122" s="120"/>
      <c r="AV122" s="120"/>
      <c r="AW122" s="120"/>
      <c r="AX122" s="120"/>
      <c r="AY122" s="120"/>
      <c r="AZ122" s="120"/>
      <c r="BA122" s="120"/>
      <c r="BB122" s="120"/>
      <c r="BC122" s="120"/>
      <c r="BD122" s="120"/>
      <c r="BE122" s="120"/>
      <c r="BF122" s="120"/>
      <c r="BG122" s="120"/>
      <c r="BH122" s="120"/>
      <c r="BI122" s="120"/>
      <c r="BJ122" s="120"/>
      <c r="BK122" s="120"/>
      <c r="BL122" s="120"/>
      <c r="BM122" s="120"/>
      <c r="BN122" s="120"/>
      <c r="BO122"/>
      <c r="BP122"/>
      <c r="BQ122"/>
      <c r="BR122"/>
      <c r="BS122"/>
    </row>
    <row r="123" spans="1:71" s="2" customFormat="1" ht="23" thickTop="1" thickBot="1" x14ac:dyDescent="0.3">
      <c r="A123" s="151">
        <v>39</v>
      </c>
      <c r="B123" s="148"/>
      <c r="C123" s="91" t="s">
        <v>11</v>
      </c>
      <c r="D123" s="146"/>
      <c r="E123" s="146"/>
      <c r="F123" s="140"/>
      <c r="G123" s="144"/>
      <c r="H123" s="142"/>
      <c r="I123" s="142"/>
      <c r="J123" s="140"/>
      <c r="K123" s="140"/>
      <c r="L123" s="140"/>
      <c r="M123" s="140"/>
      <c r="N123" s="144"/>
      <c r="O123" s="142"/>
      <c r="P123" s="142"/>
      <c r="Q123" s="140"/>
      <c r="R123" s="140"/>
      <c r="S123" s="140"/>
      <c r="T123" s="158"/>
      <c r="U123" s="144"/>
      <c r="V123" s="142"/>
      <c r="W123" s="142"/>
      <c r="X123" s="140"/>
      <c r="Y123" s="140"/>
      <c r="Z123" s="144"/>
      <c r="AA123" s="144"/>
      <c r="AB123" s="140"/>
      <c r="AC123" s="142"/>
      <c r="AD123" s="142"/>
      <c r="AE123" s="142"/>
      <c r="AF123" s="142"/>
      <c r="AG123" s="140"/>
      <c r="AH123" s="156"/>
      <c r="AI123" s="154">
        <f t="shared" ref="AI123" si="139">SUM(D123:AH123)</f>
        <v>0</v>
      </c>
      <c r="AJ123" s="86">
        <f>SUMIF(D125:AH125, "LL", D123:AH123) + SUMIF(D125:AH125, "LL", D124:AH124)</f>
        <v>0</v>
      </c>
      <c r="AK123" s="12"/>
      <c r="AL123" s="18"/>
      <c r="AM123" s="99">
        <f t="shared" ref="AM123" si="140">SUMIF(D125:AH125, "CO", D123:AH123) + SUMIF(D125:AH125, "CO", D124:AH124)</f>
        <v>0</v>
      </c>
      <c r="AN123" s="58">
        <f>SUM(AI123:AM123)</f>
        <v>0</v>
      </c>
      <c r="AO123" s="17"/>
      <c r="AP123" s="75"/>
      <c r="AQ123" s="133"/>
      <c r="AR123" s="6"/>
      <c r="AS123" s="120"/>
      <c r="AT123" s="120"/>
      <c r="AU123" s="120"/>
      <c r="AV123" s="120"/>
      <c r="AW123" s="120"/>
      <c r="AX123" s="120"/>
      <c r="AY123" s="120"/>
      <c r="AZ123" s="120"/>
      <c r="BA123" s="120"/>
      <c r="BB123" s="120"/>
      <c r="BC123" s="120"/>
      <c r="BD123" s="120"/>
      <c r="BE123" s="120"/>
      <c r="BF123" s="120"/>
      <c r="BG123" s="120"/>
      <c r="BH123" s="120"/>
      <c r="BI123" s="120"/>
      <c r="BJ123" s="120"/>
      <c r="BK123" s="120"/>
      <c r="BL123" s="120"/>
      <c r="BM123" s="120"/>
      <c r="BN123" s="120"/>
      <c r="BO123"/>
      <c r="BP123"/>
      <c r="BQ123"/>
      <c r="BR123"/>
      <c r="BS123"/>
    </row>
    <row r="124" spans="1:71" s="2" customFormat="1" ht="20" thickBot="1" x14ac:dyDescent="0.3">
      <c r="A124" s="152"/>
      <c r="B124" s="149"/>
      <c r="C124" s="3" t="s">
        <v>12</v>
      </c>
      <c r="D124" s="147"/>
      <c r="E124" s="147"/>
      <c r="F124" s="141"/>
      <c r="G124" s="145"/>
      <c r="H124" s="143"/>
      <c r="I124" s="143"/>
      <c r="J124" s="141"/>
      <c r="K124" s="141"/>
      <c r="L124" s="141"/>
      <c r="M124" s="141"/>
      <c r="N124" s="145"/>
      <c r="O124" s="143"/>
      <c r="P124" s="143"/>
      <c r="Q124" s="141"/>
      <c r="R124" s="141"/>
      <c r="S124" s="141"/>
      <c r="T124" s="159"/>
      <c r="U124" s="145"/>
      <c r="V124" s="143"/>
      <c r="W124" s="143"/>
      <c r="X124" s="141"/>
      <c r="Y124" s="141"/>
      <c r="Z124" s="145"/>
      <c r="AA124" s="145"/>
      <c r="AB124" s="141"/>
      <c r="AC124" s="143"/>
      <c r="AD124" s="143"/>
      <c r="AE124" s="143"/>
      <c r="AF124" s="143"/>
      <c r="AG124" s="141"/>
      <c r="AH124" s="157"/>
      <c r="AI124" s="155"/>
      <c r="AJ124" s="11"/>
      <c r="AK124" s="10"/>
      <c r="AL124" s="7"/>
      <c r="AM124" s="11"/>
      <c r="AN124" s="59"/>
      <c r="AO124" s="5"/>
      <c r="AP124" s="73"/>
      <c r="AQ124" s="133"/>
      <c r="AR124" s="5"/>
      <c r="AS124" s="120"/>
      <c r="AT124" s="120"/>
      <c r="AU124" s="120"/>
      <c r="AV124" s="120"/>
      <c r="AW124" s="120"/>
      <c r="AX124" s="120"/>
      <c r="AY124" s="120"/>
      <c r="AZ124" s="120"/>
      <c r="BA124" s="120"/>
      <c r="BB124" s="120"/>
      <c r="BC124" s="120"/>
      <c r="BD124" s="120"/>
      <c r="BE124" s="120"/>
      <c r="BF124" s="120"/>
      <c r="BG124" s="120"/>
      <c r="BH124" s="120"/>
      <c r="BI124" s="120"/>
      <c r="BJ124" s="120"/>
      <c r="BK124" s="120"/>
      <c r="BL124" s="120"/>
      <c r="BM124" s="120"/>
      <c r="BN124" s="120"/>
      <c r="BO124"/>
      <c r="BP124"/>
      <c r="BQ124"/>
      <c r="BR124"/>
      <c r="BS124"/>
    </row>
    <row r="125" spans="1:71" s="2" customFormat="1" ht="20" thickBot="1" x14ac:dyDescent="0.3">
      <c r="A125" s="153"/>
      <c r="B125" s="150"/>
      <c r="C125" s="92" t="s">
        <v>4</v>
      </c>
      <c r="D125" s="88"/>
      <c r="E125" s="88"/>
      <c r="F125" s="88"/>
      <c r="G125" s="89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88"/>
      <c r="AC125" s="88"/>
      <c r="AD125" s="88"/>
      <c r="AE125" s="88"/>
      <c r="AF125" s="88"/>
      <c r="AG125" s="88"/>
      <c r="AH125" s="90"/>
      <c r="AI125" s="36"/>
      <c r="AJ125" s="34"/>
      <c r="AK125" s="29"/>
      <c r="AL125" s="28"/>
      <c r="AM125" s="34"/>
      <c r="AN125" s="60"/>
      <c r="AO125" s="30"/>
      <c r="AP125" s="74"/>
      <c r="AQ125" s="133"/>
      <c r="AR125" s="5"/>
      <c r="AS125" s="120"/>
      <c r="AT125" s="120"/>
      <c r="AU125" s="120"/>
      <c r="AV125" s="120"/>
      <c r="AW125" s="120"/>
      <c r="AX125" s="120"/>
      <c r="AY125" s="120"/>
      <c r="AZ125" s="120"/>
      <c r="BA125" s="120"/>
      <c r="BB125" s="120"/>
      <c r="BC125" s="120"/>
      <c r="BD125" s="120"/>
      <c r="BE125" s="120"/>
      <c r="BF125" s="120"/>
      <c r="BG125" s="120"/>
      <c r="BH125" s="120"/>
      <c r="BI125" s="120"/>
      <c r="BJ125" s="120"/>
      <c r="BK125" s="120"/>
      <c r="BL125" s="120"/>
      <c r="BM125" s="120"/>
      <c r="BN125" s="120"/>
      <c r="BO125"/>
      <c r="BP125"/>
      <c r="BQ125"/>
      <c r="BR125"/>
      <c r="BS125"/>
    </row>
    <row r="126" spans="1:71" s="2" customFormat="1" ht="21" thickTop="1" thickBot="1" x14ac:dyDescent="0.3">
      <c r="A126" s="151">
        <v>40</v>
      </c>
      <c r="B126" s="148"/>
      <c r="C126" s="91" t="s">
        <v>11</v>
      </c>
      <c r="D126" s="146"/>
      <c r="E126" s="146"/>
      <c r="F126" s="140"/>
      <c r="G126" s="144"/>
      <c r="H126" s="142"/>
      <c r="I126" s="142"/>
      <c r="J126" s="140"/>
      <c r="K126" s="140"/>
      <c r="L126" s="140"/>
      <c r="M126" s="140"/>
      <c r="N126" s="144"/>
      <c r="O126" s="142"/>
      <c r="P126" s="142"/>
      <c r="Q126" s="140"/>
      <c r="R126" s="140"/>
      <c r="S126" s="140"/>
      <c r="T126" s="158"/>
      <c r="U126" s="144"/>
      <c r="V126" s="142"/>
      <c r="W126" s="142"/>
      <c r="X126" s="140"/>
      <c r="Y126" s="140"/>
      <c r="Z126" s="144"/>
      <c r="AA126" s="144"/>
      <c r="AB126" s="140"/>
      <c r="AC126" s="142"/>
      <c r="AD126" s="142"/>
      <c r="AE126" s="142"/>
      <c r="AF126" s="142"/>
      <c r="AG126" s="140"/>
      <c r="AH126" s="156"/>
      <c r="AI126" s="154">
        <f t="shared" ref="AI126" si="141">SUM(D126:AH126)</f>
        <v>0</v>
      </c>
      <c r="AJ126" s="87">
        <f>SUMIF(D128:AH128, "LL", D126:AH126) + SUMIF(D128:AH128, "LL", D127:AH127)</f>
        <v>0</v>
      </c>
      <c r="AK126" s="18"/>
      <c r="AL126" s="18"/>
      <c r="AM126" s="100">
        <f t="shared" ref="AM126" si="142">SUMIF(D128:AH128, "CO", D126:AH126) + SUMIF(D128:AH128, "CO", D127:AH127)</f>
        <v>0</v>
      </c>
      <c r="AN126" s="58">
        <f>SUM(AI126:AM126)</f>
        <v>0</v>
      </c>
      <c r="AO126" s="17"/>
      <c r="AP126" s="76"/>
      <c r="AQ126" s="133"/>
      <c r="AR126" s="46"/>
      <c r="AS126" s="120"/>
      <c r="AT126" s="120"/>
      <c r="AU126" s="120"/>
      <c r="AV126" s="120"/>
      <c r="AW126" s="120"/>
      <c r="AX126" s="120"/>
      <c r="AY126" s="120"/>
      <c r="AZ126" s="120"/>
      <c r="BA126" s="120"/>
      <c r="BB126" s="120"/>
      <c r="BC126" s="120"/>
      <c r="BD126" s="120"/>
      <c r="BE126" s="120"/>
      <c r="BF126" s="120"/>
      <c r="BG126" s="120"/>
      <c r="BH126" s="120"/>
      <c r="BI126" s="120"/>
      <c r="BJ126" s="120"/>
      <c r="BK126" s="120"/>
      <c r="BL126" s="120"/>
      <c r="BM126" s="120"/>
      <c r="BN126" s="120"/>
      <c r="BO126"/>
      <c r="BP126"/>
      <c r="BQ126"/>
      <c r="BR126"/>
      <c r="BS126"/>
    </row>
    <row r="127" spans="1:71" s="2" customFormat="1" ht="20" thickBot="1" x14ac:dyDescent="0.3">
      <c r="A127" s="152"/>
      <c r="B127" s="149"/>
      <c r="C127" s="3" t="s">
        <v>12</v>
      </c>
      <c r="D127" s="147"/>
      <c r="E127" s="147"/>
      <c r="F127" s="141"/>
      <c r="G127" s="145"/>
      <c r="H127" s="143"/>
      <c r="I127" s="143"/>
      <c r="J127" s="141"/>
      <c r="K127" s="141"/>
      <c r="L127" s="141"/>
      <c r="M127" s="141"/>
      <c r="N127" s="145"/>
      <c r="O127" s="143"/>
      <c r="P127" s="143"/>
      <c r="Q127" s="141"/>
      <c r="R127" s="141"/>
      <c r="S127" s="141"/>
      <c r="T127" s="159"/>
      <c r="U127" s="145"/>
      <c r="V127" s="143"/>
      <c r="W127" s="143"/>
      <c r="X127" s="141"/>
      <c r="Y127" s="141"/>
      <c r="Z127" s="145"/>
      <c r="AA127" s="145"/>
      <c r="AB127" s="141"/>
      <c r="AC127" s="143"/>
      <c r="AD127" s="143"/>
      <c r="AE127" s="143"/>
      <c r="AF127" s="143"/>
      <c r="AG127" s="141"/>
      <c r="AH127" s="157"/>
      <c r="AI127" s="155"/>
      <c r="AJ127" s="11"/>
      <c r="AK127" s="7"/>
      <c r="AL127" s="7"/>
      <c r="AM127" s="11"/>
      <c r="AN127" s="59"/>
      <c r="AO127" s="5"/>
      <c r="AP127" s="73"/>
      <c r="AQ127" s="133"/>
      <c r="AR127" s="5"/>
      <c r="AS127" s="120"/>
      <c r="AT127" s="120"/>
      <c r="AU127" s="120"/>
      <c r="AV127" s="120"/>
      <c r="AW127" s="120"/>
      <c r="AX127" s="120"/>
      <c r="AY127" s="120"/>
      <c r="AZ127" s="120"/>
      <c r="BA127" s="120"/>
      <c r="BB127" s="120"/>
      <c r="BC127" s="120"/>
      <c r="BD127" s="120"/>
      <c r="BE127" s="120"/>
      <c r="BF127" s="120"/>
      <c r="BG127" s="120"/>
      <c r="BH127" s="120"/>
      <c r="BI127" s="120"/>
      <c r="BJ127" s="120"/>
      <c r="BK127" s="120"/>
      <c r="BL127" s="120"/>
      <c r="BM127" s="120"/>
      <c r="BN127" s="120"/>
      <c r="BO127"/>
      <c r="BP127"/>
      <c r="BQ127"/>
      <c r="BR127"/>
      <c r="BS127"/>
    </row>
    <row r="128" spans="1:71" s="2" customFormat="1" ht="20" thickBot="1" x14ac:dyDescent="0.3">
      <c r="A128" s="153"/>
      <c r="B128" s="150"/>
      <c r="C128" s="92" t="s">
        <v>4</v>
      </c>
      <c r="D128" s="88"/>
      <c r="E128" s="88"/>
      <c r="F128" s="88"/>
      <c r="G128" s="89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  <c r="AH128" s="90"/>
      <c r="AI128" s="36"/>
      <c r="AJ128" s="34"/>
      <c r="AK128" s="28"/>
      <c r="AL128" s="28"/>
      <c r="AM128" s="34"/>
      <c r="AN128" s="60"/>
      <c r="AO128" s="30"/>
      <c r="AP128" s="74"/>
      <c r="AQ128" s="133"/>
      <c r="AR128" s="5"/>
      <c r="AS128" s="120"/>
      <c r="AT128" s="120"/>
      <c r="AU128" s="120"/>
      <c r="AV128" s="120"/>
      <c r="AW128" s="120"/>
      <c r="AX128" s="120"/>
      <c r="AY128" s="120"/>
      <c r="AZ128" s="120"/>
      <c r="BA128" s="120"/>
      <c r="BB128" s="120"/>
      <c r="BC128" s="120"/>
      <c r="BD128" s="120"/>
      <c r="BE128" s="120"/>
      <c r="BF128" s="120"/>
      <c r="BG128" s="120"/>
      <c r="BH128" s="120"/>
      <c r="BI128" s="120"/>
      <c r="BJ128" s="120"/>
      <c r="BK128" s="120"/>
      <c r="BL128" s="120"/>
      <c r="BM128" s="120"/>
      <c r="BN128" s="120"/>
      <c r="BO128"/>
      <c r="BP128"/>
      <c r="BQ128"/>
      <c r="BR128"/>
      <c r="BS128"/>
    </row>
    <row r="129" spans="1:71" s="2" customFormat="1" ht="21" thickTop="1" thickBot="1" x14ac:dyDescent="0.3">
      <c r="A129" s="151">
        <v>41</v>
      </c>
      <c r="B129" s="148"/>
      <c r="C129" s="91" t="s">
        <v>11</v>
      </c>
      <c r="D129" s="146"/>
      <c r="E129" s="146"/>
      <c r="F129" s="140"/>
      <c r="G129" s="144"/>
      <c r="H129" s="142"/>
      <c r="I129" s="142"/>
      <c r="J129" s="140"/>
      <c r="K129" s="140"/>
      <c r="L129" s="140"/>
      <c r="M129" s="140"/>
      <c r="N129" s="144"/>
      <c r="O129" s="142"/>
      <c r="P129" s="142"/>
      <c r="Q129" s="140"/>
      <c r="R129" s="140"/>
      <c r="S129" s="140"/>
      <c r="T129" s="158"/>
      <c r="U129" s="144"/>
      <c r="V129" s="142"/>
      <c r="W129" s="142"/>
      <c r="X129" s="140"/>
      <c r="Y129" s="140"/>
      <c r="Z129" s="144"/>
      <c r="AA129" s="144"/>
      <c r="AB129" s="140"/>
      <c r="AC129" s="142"/>
      <c r="AD129" s="142"/>
      <c r="AE129" s="142"/>
      <c r="AF129" s="142"/>
      <c r="AG129" s="140"/>
      <c r="AH129" s="156"/>
      <c r="AI129" s="154">
        <f t="shared" ref="AI129" si="143">SUM(D129:AH129)</f>
        <v>0</v>
      </c>
      <c r="AJ129" s="86">
        <f>SUMIF(D131:AH131, "LL", D129:AH129) + SUMIF(D131:AH131, "LL", D130:AH130)</f>
        <v>0</v>
      </c>
      <c r="AK129" s="18"/>
      <c r="AL129" s="26"/>
      <c r="AM129" s="99">
        <f t="shared" ref="AM129" si="144">SUMIF(D131:AH131, "CO", D129:AH129) + SUMIF(D131:AH131, "CO", D130:AH130)</f>
        <v>0</v>
      </c>
      <c r="AN129" s="61">
        <f>SUM(AI129:AM129)</f>
        <v>0</v>
      </c>
      <c r="AO129" s="27"/>
      <c r="AP129" s="77"/>
      <c r="AQ129" s="133"/>
      <c r="AR129" s="5"/>
      <c r="AS129" s="120"/>
      <c r="AT129" s="120"/>
      <c r="AU129" s="120"/>
      <c r="AV129" s="120"/>
      <c r="AW129" s="120"/>
      <c r="AX129" s="120"/>
      <c r="AY129" s="120"/>
      <c r="AZ129" s="120"/>
      <c r="BA129" s="120"/>
      <c r="BB129" s="120"/>
      <c r="BC129" s="120"/>
      <c r="BD129" s="120"/>
      <c r="BE129" s="120"/>
      <c r="BF129" s="120"/>
      <c r="BG129" s="120"/>
      <c r="BH129" s="120"/>
      <c r="BI129" s="120"/>
      <c r="BJ129" s="120"/>
      <c r="BK129" s="120"/>
      <c r="BL129" s="120"/>
      <c r="BM129" s="120"/>
      <c r="BN129" s="120"/>
      <c r="BO129"/>
      <c r="BP129"/>
      <c r="BQ129"/>
      <c r="BR129"/>
      <c r="BS129"/>
    </row>
    <row r="130" spans="1:71" s="2" customFormat="1" ht="22" thickBot="1" x14ac:dyDescent="0.3">
      <c r="A130" s="152"/>
      <c r="B130" s="149"/>
      <c r="C130" s="3" t="s">
        <v>12</v>
      </c>
      <c r="D130" s="147"/>
      <c r="E130" s="147"/>
      <c r="F130" s="141"/>
      <c r="G130" s="145"/>
      <c r="H130" s="143"/>
      <c r="I130" s="143"/>
      <c r="J130" s="141"/>
      <c r="K130" s="141"/>
      <c r="L130" s="141"/>
      <c r="M130" s="141"/>
      <c r="N130" s="145"/>
      <c r="O130" s="143"/>
      <c r="P130" s="143"/>
      <c r="Q130" s="141"/>
      <c r="R130" s="141"/>
      <c r="S130" s="141"/>
      <c r="T130" s="159"/>
      <c r="U130" s="145"/>
      <c r="V130" s="143"/>
      <c r="W130" s="143"/>
      <c r="X130" s="141"/>
      <c r="Y130" s="141"/>
      <c r="Z130" s="145"/>
      <c r="AA130" s="145"/>
      <c r="AB130" s="141"/>
      <c r="AC130" s="143"/>
      <c r="AD130" s="143"/>
      <c r="AE130" s="143"/>
      <c r="AF130" s="143"/>
      <c r="AG130" s="141"/>
      <c r="AH130" s="157"/>
      <c r="AI130" s="155"/>
      <c r="AJ130" s="11"/>
      <c r="AK130" s="7"/>
      <c r="AL130" s="7"/>
      <c r="AM130" s="11"/>
      <c r="AN130" s="59"/>
      <c r="AO130" s="5"/>
      <c r="AP130" s="78"/>
      <c r="AQ130" s="133"/>
      <c r="AR130" s="5"/>
      <c r="AS130" s="120"/>
      <c r="AT130" s="120"/>
      <c r="AU130" s="120"/>
      <c r="AV130" s="120"/>
      <c r="AW130" s="120"/>
      <c r="AX130" s="120"/>
      <c r="AY130" s="120"/>
      <c r="AZ130" s="120"/>
      <c r="BA130" s="120"/>
      <c r="BB130" s="120"/>
      <c r="BC130" s="120"/>
      <c r="BD130" s="120"/>
      <c r="BE130" s="120"/>
      <c r="BF130" s="120"/>
      <c r="BG130" s="120"/>
      <c r="BH130" s="120"/>
      <c r="BI130" s="120"/>
      <c r="BJ130" s="120"/>
      <c r="BK130" s="120"/>
      <c r="BL130" s="120"/>
      <c r="BM130" s="120"/>
      <c r="BN130" s="120"/>
      <c r="BO130"/>
      <c r="BP130"/>
      <c r="BQ130"/>
      <c r="BR130"/>
      <c r="BS130"/>
    </row>
    <row r="131" spans="1:71" s="2" customFormat="1" ht="20" thickBot="1" x14ac:dyDescent="0.3">
      <c r="A131" s="153"/>
      <c r="B131" s="150"/>
      <c r="C131" s="92" t="s">
        <v>4</v>
      </c>
      <c r="D131" s="88"/>
      <c r="E131" s="88"/>
      <c r="F131" s="88"/>
      <c r="G131" s="89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88"/>
      <c r="AF131" s="88"/>
      <c r="AG131" s="88"/>
      <c r="AH131" s="90"/>
      <c r="AI131" s="36"/>
      <c r="AJ131" s="34"/>
      <c r="AK131" s="28"/>
      <c r="AL131" s="28"/>
      <c r="AM131" s="34"/>
      <c r="AN131" s="60"/>
      <c r="AO131" s="30"/>
      <c r="AP131" s="74"/>
      <c r="AQ131" s="133"/>
      <c r="AR131" s="5"/>
      <c r="AS131" s="120"/>
      <c r="AT131" s="120"/>
      <c r="AU131" s="120"/>
      <c r="AV131" s="120"/>
      <c r="AW131" s="120"/>
      <c r="AX131" s="120"/>
      <c r="AY131" s="120"/>
      <c r="AZ131" s="120"/>
      <c r="BA131" s="120"/>
      <c r="BB131" s="120"/>
      <c r="BC131" s="120"/>
      <c r="BD131" s="120"/>
      <c r="BE131" s="120"/>
      <c r="BF131" s="120"/>
      <c r="BG131" s="120"/>
      <c r="BH131" s="120"/>
      <c r="BI131" s="120"/>
      <c r="BJ131" s="120"/>
      <c r="BK131" s="120"/>
      <c r="BL131" s="120"/>
      <c r="BM131" s="120"/>
      <c r="BN131" s="120"/>
      <c r="BO131"/>
      <c r="BP131"/>
      <c r="BQ131"/>
      <c r="BR131"/>
      <c r="BS131"/>
    </row>
    <row r="132" spans="1:71" s="2" customFormat="1" ht="21" thickTop="1" thickBot="1" x14ac:dyDescent="0.3">
      <c r="A132" s="151">
        <v>42</v>
      </c>
      <c r="B132" s="148"/>
      <c r="C132" s="91" t="s">
        <v>11</v>
      </c>
      <c r="D132" s="146"/>
      <c r="E132" s="146"/>
      <c r="F132" s="140"/>
      <c r="G132" s="144"/>
      <c r="H132" s="142"/>
      <c r="I132" s="142"/>
      <c r="J132" s="140"/>
      <c r="K132" s="140"/>
      <c r="L132" s="140"/>
      <c r="M132" s="140"/>
      <c r="N132" s="144"/>
      <c r="O132" s="142"/>
      <c r="P132" s="142"/>
      <c r="Q132" s="140"/>
      <c r="R132" s="140"/>
      <c r="S132" s="140"/>
      <c r="T132" s="158"/>
      <c r="U132" s="144"/>
      <c r="V132" s="142"/>
      <c r="W132" s="142"/>
      <c r="X132" s="140"/>
      <c r="Y132" s="140"/>
      <c r="Z132" s="144"/>
      <c r="AA132" s="144"/>
      <c r="AB132" s="140"/>
      <c r="AC132" s="142"/>
      <c r="AD132" s="142"/>
      <c r="AE132" s="142"/>
      <c r="AF132" s="142"/>
      <c r="AG132" s="140"/>
      <c r="AH132" s="156"/>
      <c r="AI132" s="154">
        <f t="shared" ref="AI132" si="145">SUM(D132:AH132)</f>
        <v>0</v>
      </c>
      <c r="AJ132" s="87">
        <f>SUMIF(D134:AH134, "LL", D132:AH132) + SUMIF(D134:AH134, "LL", D133:AH133)</f>
        <v>0</v>
      </c>
      <c r="AK132" s="18"/>
      <c r="AL132" s="26"/>
      <c r="AM132" s="100">
        <f t="shared" ref="AM132" si="146">SUMIF(D134:AH134, "CO", D132:AH132) + SUMIF(D134:AH134, "CO", D133:AH133)</f>
        <v>0</v>
      </c>
      <c r="AN132" s="61">
        <f>SUM(AI132:AM132)</f>
        <v>0</v>
      </c>
      <c r="AO132" s="27"/>
      <c r="AP132" s="77"/>
      <c r="AQ132" s="133"/>
      <c r="AR132" s="5"/>
      <c r="AS132" s="120"/>
      <c r="AT132" s="120"/>
      <c r="AU132" s="120"/>
      <c r="AV132" s="120"/>
      <c r="AW132" s="120"/>
      <c r="AX132" s="120"/>
      <c r="AY132" s="120"/>
      <c r="AZ132" s="120"/>
      <c r="BA132" s="120"/>
      <c r="BB132" s="120"/>
      <c r="BC132" s="120"/>
      <c r="BD132" s="120"/>
      <c r="BE132" s="120"/>
      <c r="BF132" s="120"/>
      <c r="BG132" s="120"/>
      <c r="BH132" s="120"/>
      <c r="BI132" s="120"/>
      <c r="BJ132" s="120"/>
      <c r="BK132" s="120"/>
      <c r="BL132" s="120"/>
      <c r="BM132" s="120"/>
      <c r="BN132" s="120"/>
      <c r="BO132"/>
      <c r="BP132"/>
      <c r="BQ132"/>
      <c r="BR132"/>
      <c r="BS132"/>
    </row>
    <row r="133" spans="1:71" s="2" customFormat="1" ht="22" thickBot="1" x14ac:dyDescent="0.3">
      <c r="A133" s="152"/>
      <c r="B133" s="149"/>
      <c r="C133" s="3" t="s">
        <v>12</v>
      </c>
      <c r="D133" s="147"/>
      <c r="E133" s="147"/>
      <c r="F133" s="141"/>
      <c r="G133" s="145"/>
      <c r="H133" s="143"/>
      <c r="I133" s="143"/>
      <c r="J133" s="141"/>
      <c r="K133" s="141"/>
      <c r="L133" s="141"/>
      <c r="M133" s="141"/>
      <c r="N133" s="145"/>
      <c r="O133" s="143"/>
      <c r="P133" s="143"/>
      <c r="Q133" s="141"/>
      <c r="R133" s="141"/>
      <c r="S133" s="141"/>
      <c r="T133" s="159"/>
      <c r="U133" s="145"/>
      <c r="V133" s="143"/>
      <c r="W133" s="143"/>
      <c r="X133" s="141"/>
      <c r="Y133" s="141"/>
      <c r="Z133" s="145"/>
      <c r="AA133" s="145"/>
      <c r="AB133" s="141"/>
      <c r="AC133" s="143"/>
      <c r="AD133" s="143"/>
      <c r="AE133" s="143"/>
      <c r="AF133" s="143"/>
      <c r="AG133" s="141"/>
      <c r="AH133" s="157"/>
      <c r="AI133" s="155"/>
      <c r="AJ133" s="11"/>
      <c r="AK133" s="7"/>
      <c r="AL133" s="7"/>
      <c r="AM133" s="11"/>
      <c r="AN133" s="59"/>
      <c r="AO133" s="5"/>
      <c r="AP133" s="78"/>
      <c r="AQ133" s="133"/>
      <c r="AR133" s="5"/>
      <c r="AS133" s="120"/>
      <c r="AT133" s="120"/>
      <c r="AU133" s="120"/>
      <c r="AV133" s="120"/>
      <c r="AW133" s="120"/>
      <c r="AX133" s="120"/>
      <c r="AY133" s="120"/>
      <c r="AZ133" s="120"/>
      <c r="BA133" s="120"/>
      <c r="BB133" s="120"/>
      <c r="BC133" s="120"/>
      <c r="BD133" s="120"/>
      <c r="BE133" s="120"/>
      <c r="BF133" s="120"/>
      <c r="BG133" s="120"/>
      <c r="BH133" s="120"/>
      <c r="BI133" s="120"/>
      <c r="BJ133" s="120"/>
      <c r="BK133" s="120"/>
      <c r="BL133" s="120"/>
      <c r="BM133" s="120"/>
      <c r="BN133" s="120"/>
      <c r="BO133"/>
      <c r="BP133"/>
      <c r="BQ133"/>
      <c r="BR133"/>
      <c r="BS133"/>
    </row>
    <row r="134" spans="1:71" s="2" customFormat="1" ht="20" thickBot="1" x14ac:dyDescent="0.3">
      <c r="A134" s="153"/>
      <c r="B134" s="150"/>
      <c r="C134" s="92" t="s">
        <v>4</v>
      </c>
      <c r="D134" s="88"/>
      <c r="E134" s="88"/>
      <c r="F134" s="88"/>
      <c r="G134" s="89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90"/>
      <c r="AI134" s="36"/>
      <c r="AJ134" s="34"/>
      <c r="AK134" s="28"/>
      <c r="AL134" s="28"/>
      <c r="AM134" s="34"/>
      <c r="AN134" s="60"/>
      <c r="AO134" s="30"/>
      <c r="AP134" s="74"/>
      <c r="AQ134" s="133"/>
      <c r="AR134" s="5"/>
      <c r="AS134" s="120"/>
      <c r="AT134" s="120"/>
      <c r="AU134" s="120"/>
      <c r="AV134" s="120"/>
      <c r="AW134" s="120"/>
      <c r="AX134" s="120"/>
      <c r="AY134" s="120"/>
      <c r="AZ134" s="120"/>
      <c r="BA134" s="120"/>
      <c r="BB134" s="120"/>
      <c r="BC134" s="120"/>
      <c r="BD134" s="120"/>
      <c r="BE134" s="120"/>
      <c r="BF134" s="120"/>
      <c r="BG134" s="120"/>
      <c r="BH134" s="120"/>
      <c r="BI134" s="120"/>
      <c r="BJ134" s="120"/>
      <c r="BK134" s="120"/>
      <c r="BL134" s="120"/>
      <c r="BM134" s="120"/>
      <c r="BN134" s="120"/>
      <c r="BO134"/>
      <c r="BP134"/>
      <c r="BQ134"/>
      <c r="BR134"/>
      <c r="BS134"/>
    </row>
    <row r="135" spans="1:71" s="2" customFormat="1" ht="21" thickTop="1" thickBot="1" x14ac:dyDescent="0.3">
      <c r="A135" s="151">
        <v>43</v>
      </c>
      <c r="B135" s="148"/>
      <c r="C135" s="91" t="s">
        <v>11</v>
      </c>
      <c r="D135" s="146"/>
      <c r="E135" s="146"/>
      <c r="F135" s="140"/>
      <c r="G135" s="144"/>
      <c r="H135" s="142"/>
      <c r="I135" s="142"/>
      <c r="J135" s="140"/>
      <c r="K135" s="140"/>
      <c r="L135" s="140"/>
      <c r="M135" s="140"/>
      <c r="N135" s="144"/>
      <c r="O135" s="142"/>
      <c r="P135" s="142"/>
      <c r="Q135" s="140"/>
      <c r="R135" s="140"/>
      <c r="S135" s="140"/>
      <c r="T135" s="158"/>
      <c r="U135" s="144"/>
      <c r="V135" s="142"/>
      <c r="W135" s="142"/>
      <c r="X135" s="140"/>
      <c r="Y135" s="140"/>
      <c r="Z135" s="144"/>
      <c r="AA135" s="144"/>
      <c r="AB135" s="140"/>
      <c r="AC135" s="142"/>
      <c r="AD135" s="142"/>
      <c r="AE135" s="142"/>
      <c r="AF135" s="142"/>
      <c r="AG135" s="140"/>
      <c r="AH135" s="156"/>
      <c r="AI135" s="154">
        <f t="shared" ref="AI135" si="147">SUM(D135:AH135)</f>
        <v>0</v>
      </c>
      <c r="AJ135" s="86">
        <f>SUMIF(D137:AH137, "LL", D135:AH135) + SUMIF(D137:AH137, "LL", D136:AH136)</f>
        <v>0</v>
      </c>
      <c r="AK135" s="18"/>
      <c r="AL135" s="26"/>
      <c r="AM135" s="99">
        <f>SUMIF(D137:AH137, "CO", D135:AH135) + SUMIF(D137:AH137, "CO", D136:AH136)</f>
        <v>0</v>
      </c>
      <c r="AN135" s="61">
        <f>SUM(AI135:AM135)</f>
        <v>0</v>
      </c>
      <c r="AO135" s="27"/>
      <c r="AP135" s="77"/>
      <c r="AQ135" s="133"/>
      <c r="AR135" s="5"/>
      <c r="AS135" s="120"/>
      <c r="AT135" s="120"/>
      <c r="AU135" s="120"/>
      <c r="AV135" s="120"/>
      <c r="AW135" s="120"/>
      <c r="AX135" s="120"/>
      <c r="AY135" s="120"/>
      <c r="AZ135" s="120"/>
      <c r="BA135" s="120"/>
      <c r="BB135" s="120"/>
      <c r="BC135" s="120"/>
      <c r="BD135" s="120"/>
      <c r="BE135" s="120"/>
      <c r="BF135" s="120"/>
      <c r="BG135" s="120"/>
      <c r="BH135" s="120"/>
      <c r="BI135" s="120"/>
      <c r="BJ135" s="120"/>
      <c r="BK135" s="120"/>
      <c r="BL135" s="120"/>
      <c r="BM135" s="120"/>
      <c r="BN135" s="120"/>
      <c r="BO135"/>
      <c r="BP135"/>
      <c r="BQ135"/>
      <c r="BR135"/>
      <c r="BS135"/>
    </row>
    <row r="136" spans="1:71" s="2" customFormat="1" ht="22" thickBot="1" x14ac:dyDescent="0.3">
      <c r="A136" s="152"/>
      <c r="B136" s="149"/>
      <c r="C136" s="3" t="s">
        <v>12</v>
      </c>
      <c r="D136" s="147"/>
      <c r="E136" s="147"/>
      <c r="F136" s="141"/>
      <c r="G136" s="145"/>
      <c r="H136" s="143"/>
      <c r="I136" s="143"/>
      <c r="J136" s="141"/>
      <c r="K136" s="141"/>
      <c r="L136" s="141"/>
      <c r="M136" s="141"/>
      <c r="N136" s="145"/>
      <c r="O136" s="143"/>
      <c r="P136" s="143"/>
      <c r="Q136" s="141"/>
      <c r="R136" s="141"/>
      <c r="S136" s="141"/>
      <c r="T136" s="159"/>
      <c r="U136" s="145"/>
      <c r="V136" s="143"/>
      <c r="W136" s="143"/>
      <c r="X136" s="141"/>
      <c r="Y136" s="141"/>
      <c r="Z136" s="145"/>
      <c r="AA136" s="145"/>
      <c r="AB136" s="141"/>
      <c r="AC136" s="143"/>
      <c r="AD136" s="143"/>
      <c r="AE136" s="143"/>
      <c r="AF136" s="143"/>
      <c r="AG136" s="141"/>
      <c r="AH136" s="157"/>
      <c r="AI136" s="155"/>
      <c r="AJ136" s="11"/>
      <c r="AK136" s="7"/>
      <c r="AL136" s="7"/>
      <c r="AM136" s="11"/>
      <c r="AN136" s="59"/>
      <c r="AO136" s="5"/>
      <c r="AP136" s="78"/>
      <c r="AQ136" s="133"/>
      <c r="AR136" s="5"/>
      <c r="AS136" s="120"/>
      <c r="AT136" s="120"/>
      <c r="AU136" s="120"/>
      <c r="AV136" s="120"/>
      <c r="AW136" s="120"/>
      <c r="AX136" s="120"/>
      <c r="AY136" s="120"/>
      <c r="AZ136" s="120"/>
      <c r="BA136" s="120"/>
      <c r="BB136" s="120"/>
      <c r="BC136" s="120"/>
      <c r="BD136" s="120"/>
      <c r="BE136" s="120"/>
      <c r="BF136" s="120"/>
      <c r="BG136" s="120"/>
      <c r="BH136" s="120"/>
      <c r="BI136" s="120"/>
      <c r="BJ136" s="120"/>
      <c r="BK136" s="120"/>
      <c r="BL136" s="120"/>
      <c r="BM136" s="120"/>
      <c r="BN136" s="120"/>
      <c r="BO136"/>
      <c r="BP136"/>
      <c r="BQ136"/>
      <c r="BR136"/>
      <c r="BS136"/>
    </row>
    <row r="137" spans="1:71" s="2" customFormat="1" ht="20" thickBot="1" x14ac:dyDescent="0.3">
      <c r="A137" s="153"/>
      <c r="B137" s="150"/>
      <c r="C137" s="92" t="s">
        <v>4</v>
      </c>
      <c r="D137" s="88"/>
      <c r="E137" s="88"/>
      <c r="F137" s="88"/>
      <c r="G137" s="89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90"/>
      <c r="AI137" s="36"/>
      <c r="AJ137" s="34"/>
      <c r="AK137" s="47"/>
      <c r="AL137" s="47"/>
      <c r="AM137" s="34"/>
      <c r="AN137" s="62"/>
      <c r="AO137" s="48"/>
      <c r="AP137" s="79"/>
      <c r="AQ137" s="134"/>
      <c r="AR137" s="5"/>
      <c r="AS137" s="120"/>
      <c r="AT137" s="120"/>
      <c r="AU137" s="120"/>
      <c r="AV137" s="120"/>
      <c r="AW137" s="120"/>
      <c r="AX137" s="120"/>
      <c r="AY137" s="120"/>
      <c r="AZ137" s="120"/>
      <c r="BA137" s="120"/>
      <c r="BB137" s="120"/>
      <c r="BC137" s="120"/>
      <c r="BD137" s="120"/>
      <c r="BE137" s="120"/>
      <c r="BF137" s="120"/>
      <c r="BG137" s="120"/>
      <c r="BH137" s="120"/>
      <c r="BI137" s="120"/>
      <c r="BJ137" s="120"/>
      <c r="BK137" s="120"/>
      <c r="BL137" s="120"/>
      <c r="BM137" s="120"/>
      <c r="BN137" s="120"/>
      <c r="BO137"/>
      <c r="BP137"/>
      <c r="BQ137"/>
      <c r="BR137"/>
      <c r="BS137"/>
    </row>
    <row r="138" spans="1:71" s="2" customFormat="1" ht="20" thickTop="1" x14ac:dyDescent="0.25">
      <c r="A138" s="151">
        <v>44</v>
      </c>
      <c r="B138" s="148"/>
      <c r="C138" s="91" t="s">
        <v>11</v>
      </c>
      <c r="D138" s="146"/>
      <c r="E138" s="146"/>
      <c r="F138" s="140"/>
      <c r="G138" s="144"/>
      <c r="H138" s="142"/>
      <c r="I138" s="142"/>
      <c r="J138" s="140"/>
      <c r="K138" s="140"/>
      <c r="L138" s="140"/>
      <c r="M138" s="140"/>
      <c r="N138" s="144"/>
      <c r="O138" s="142"/>
      <c r="P138" s="142"/>
      <c r="Q138" s="140"/>
      <c r="R138" s="140"/>
      <c r="S138" s="140"/>
      <c r="T138" s="158"/>
      <c r="U138" s="144"/>
      <c r="V138" s="142"/>
      <c r="W138" s="142"/>
      <c r="X138" s="140"/>
      <c r="Y138" s="140"/>
      <c r="Z138" s="144"/>
      <c r="AA138" s="144"/>
      <c r="AB138" s="140"/>
      <c r="AC138" s="142"/>
      <c r="AD138" s="142"/>
      <c r="AE138" s="142"/>
      <c r="AF138" s="142"/>
      <c r="AG138" s="140"/>
      <c r="AH138" s="156"/>
      <c r="AI138" s="154">
        <f t="shared" ref="AI138" si="148">SUM(D138:AH138)</f>
        <v>0</v>
      </c>
      <c r="AJ138" s="87">
        <f>SUMIF(D140:AH140, "LL", D138:AH138) + SUMIF(D140:AH140, "LL", D139:AH139)</f>
        <v>0</v>
      </c>
      <c r="AK138" s="7"/>
      <c r="AL138" s="7"/>
      <c r="AM138" s="100">
        <f t="shared" ref="AM138" si="149">SUMIF(D140:AH140, "CO", D138:AH138) + SUMIF(D140:AH140, "CO", D139:AH139)</f>
        <v>0</v>
      </c>
      <c r="AN138" s="59">
        <f>SUM(AI138:AM138)</f>
        <v>0</v>
      </c>
      <c r="AO138" s="5"/>
      <c r="AP138" s="73"/>
      <c r="AQ138" s="135"/>
      <c r="AR138" s="5"/>
      <c r="AS138" s="120"/>
      <c r="AT138" s="120"/>
      <c r="AU138" s="120"/>
      <c r="AV138" s="120"/>
      <c r="AW138" s="120"/>
      <c r="AX138" s="120"/>
      <c r="AY138" s="120"/>
      <c r="AZ138" s="120"/>
      <c r="BA138" s="120"/>
      <c r="BB138" s="120"/>
      <c r="BC138" s="120"/>
      <c r="BD138" s="120"/>
      <c r="BE138" s="120"/>
      <c r="BF138" s="120"/>
      <c r="BG138" s="120"/>
      <c r="BH138" s="120"/>
      <c r="BI138" s="120"/>
      <c r="BJ138" s="120"/>
      <c r="BK138" s="120"/>
      <c r="BL138" s="120"/>
      <c r="BM138" s="120"/>
      <c r="BN138" s="120"/>
      <c r="BO138"/>
      <c r="BP138"/>
      <c r="BQ138"/>
      <c r="BR138"/>
      <c r="BS138"/>
    </row>
    <row r="139" spans="1:71" s="2" customFormat="1" ht="21" x14ac:dyDescent="0.25">
      <c r="A139" s="152"/>
      <c r="B139" s="149"/>
      <c r="C139" s="3" t="s">
        <v>12</v>
      </c>
      <c r="D139" s="147"/>
      <c r="E139" s="147"/>
      <c r="F139" s="141"/>
      <c r="G139" s="145"/>
      <c r="H139" s="143"/>
      <c r="I139" s="143"/>
      <c r="J139" s="141"/>
      <c r="K139" s="141"/>
      <c r="L139" s="141"/>
      <c r="M139" s="141"/>
      <c r="N139" s="145"/>
      <c r="O139" s="143"/>
      <c r="P139" s="143"/>
      <c r="Q139" s="141"/>
      <c r="R139" s="141"/>
      <c r="S139" s="141"/>
      <c r="T139" s="159"/>
      <c r="U139" s="145"/>
      <c r="V139" s="143"/>
      <c r="W139" s="143"/>
      <c r="X139" s="141"/>
      <c r="Y139" s="141"/>
      <c r="Z139" s="145"/>
      <c r="AA139" s="145"/>
      <c r="AB139" s="141"/>
      <c r="AC139" s="143"/>
      <c r="AD139" s="143"/>
      <c r="AE139" s="143"/>
      <c r="AF139" s="143"/>
      <c r="AG139" s="141"/>
      <c r="AH139" s="157"/>
      <c r="AI139" s="155"/>
      <c r="AJ139" s="11"/>
      <c r="AK139" s="7"/>
      <c r="AL139" s="7"/>
      <c r="AM139" s="11"/>
      <c r="AN139" s="59"/>
      <c r="AO139" s="5"/>
      <c r="AP139" s="78"/>
      <c r="AQ139" s="135"/>
      <c r="AR139" s="5"/>
      <c r="AS139" s="120"/>
      <c r="AT139" s="120"/>
      <c r="AU139" s="120"/>
      <c r="AV139" s="120"/>
      <c r="AW139" s="120"/>
      <c r="AX139" s="120"/>
      <c r="AY139" s="120"/>
      <c r="AZ139" s="120"/>
      <c r="BA139" s="120"/>
      <c r="BB139" s="120"/>
      <c r="BC139" s="120"/>
      <c r="BD139" s="120"/>
      <c r="BE139" s="120"/>
      <c r="BF139" s="120"/>
      <c r="BG139" s="120"/>
      <c r="BH139" s="120"/>
      <c r="BI139" s="120"/>
      <c r="BJ139" s="120"/>
      <c r="BK139" s="120"/>
      <c r="BL139" s="120"/>
      <c r="BM139" s="120"/>
      <c r="BN139" s="120"/>
      <c r="BO139"/>
      <c r="BP139"/>
      <c r="BQ139"/>
      <c r="BR139"/>
      <c r="BS139"/>
    </row>
    <row r="140" spans="1:71" s="2" customFormat="1" ht="22" thickBot="1" x14ac:dyDescent="0.3">
      <c r="A140" s="153"/>
      <c r="B140" s="150"/>
      <c r="C140" s="92" t="s">
        <v>4</v>
      </c>
      <c r="D140" s="88"/>
      <c r="E140" s="88"/>
      <c r="F140" s="88"/>
      <c r="G140" s="89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88"/>
      <c r="AF140" s="88"/>
      <c r="AG140" s="88"/>
      <c r="AH140" s="90"/>
      <c r="AI140" s="36"/>
      <c r="AJ140" s="34"/>
      <c r="AK140" s="7"/>
      <c r="AL140" s="7"/>
      <c r="AM140" s="34"/>
      <c r="AN140" s="59"/>
      <c r="AO140" s="5"/>
      <c r="AP140" s="78"/>
      <c r="AQ140" s="135"/>
      <c r="AR140" s="5"/>
      <c r="AS140" s="120"/>
      <c r="AT140" s="120"/>
      <c r="AU140" s="120"/>
      <c r="AV140" s="120"/>
      <c r="AW140" s="120"/>
      <c r="AX140" s="120"/>
      <c r="AY140" s="120"/>
      <c r="AZ140" s="120"/>
      <c r="BA140" s="120"/>
      <c r="BB140" s="120"/>
      <c r="BC140" s="120"/>
      <c r="BD140" s="120"/>
      <c r="BE140" s="120"/>
      <c r="BF140" s="120"/>
      <c r="BG140" s="120"/>
      <c r="BH140" s="120"/>
      <c r="BI140" s="120"/>
      <c r="BJ140" s="120"/>
      <c r="BK140" s="120"/>
      <c r="BL140" s="120"/>
      <c r="BM140" s="120"/>
      <c r="BN140" s="120"/>
      <c r="BO140"/>
      <c r="BP140"/>
      <c r="BQ140"/>
      <c r="BR140"/>
      <c r="BS140"/>
    </row>
    <row r="141" spans="1:71" s="2" customFormat="1" ht="20" thickTop="1" x14ac:dyDescent="0.25">
      <c r="A141" s="151">
        <v>45</v>
      </c>
      <c r="B141" s="148"/>
      <c r="C141" s="91" t="s">
        <v>11</v>
      </c>
      <c r="D141" s="146"/>
      <c r="E141" s="146"/>
      <c r="F141" s="140"/>
      <c r="G141" s="144"/>
      <c r="H141" s="142"/>
      <c r="I141" s="142"/>
      <c r="J141" s="140"/>
      <c r="K141" s="140"/>
      <c r="L141" s="140"/>
      <c r="M141" s="140"/>
      <c r="N141" s="144"/>
      <c r="O141" s="142"/>
      <c r="P141" s="142"/>
      <c r="Q141" s="140"/>
      <c r="R141" s="140"/>
      <c r="S141" s="140"/>
      <c r="T141" s="158"/>
      <c r="U141" s="144"/>
      <c r="V141" s="142"/>
      <c r="W141" s="142"/>
      <c r="X141" s="140"/>
      <c r="Y141" s="140"/>
      <c r="Z141" s="144"/>
      <c r="AA141" s="144"/>
      <c r="AB141" s="140"/>
      <c r="AC141" s="142"/>
      <c r="AD141" s="142"/>
      <c r="AE141" s="142"/>
      <c r="AF141" s="142"/>
      <c r="AG141" s="140"/>
      <c r="AH141" s="156"/>
      <c r="AI141" s="154">
        <f t="shared" ref="AI141" si="150">SUM(D141:AH141)</f>
        <v>0</v>
      </c>
      <c r="AJ141" s="86">
        <f>SUMIF(D143:AH143, "LL", D141:AH141) + SUMIF(D143:AH143, "LL", D142:AH142)</f>
        <v>0</v>
      </c>
      <c r="AK141" s="7"/>
      <c r="AL141" s="7"/>
      <c r="AM141" s="99">
        <f t="shared" ref="AM141" si="151">SUMIF(D143:AH143, "CO", D141:AH141) + SUMIF(D143:AH143, "CO", D142:AH142)</f>
        <v>0</v>
      </c>
      <c r="AN141" s="59">
        <f>SUM(AI141:AM141)</f>
        <v>0</v>
      </c>
      <c r="AO141" s="5"/>
      <c r="AP141" s="73"/>
      <c r="AQ141" s="135"/>
      <c r="AR141" s="5"/>
      <c r="AS141" s="120"/>
      <c r="AT141" s="120"/>
      <c r="AU141" s="120"/>
      <c r="AV141" s="120"/>
      <c r="AW141" s="120"/>
      <c r="AX141" s="120"/>
      <c r="AY141" s="120"/>
      <c r="AZ141" s="120"/>
      <c r="BA141" s="120"/>
      <c r="BB141" s="120"/>
      <c r="BC141" s="120"/>
      <c r="BD141" s="120"/>
      <c r="BE141" s="120"/>
      <c r="BF141" s="120"/>
      <c r="BG141" s="120"/>
      <c r="BH141" s="120"/>
      <c r="BI141" s="120"/>
      <c r="BJ141" s="120"/>
      <c r="BK141" s="120"/>
      <c r="BL141" s="120"/>
      <c r="BM141" s="120"/>
      <c r="BN141" s="120"/>
      <c r="BO141"/>
      <c r="BP141"/>
      <c r="BQ141"/>
      <c r="BR141"/>
      <c r="BS141"/>
    </row>
    <row r="142" spans="1:71" s="2" customFormat="1" ht="21" x14ac:dyDescent="0.25">
      <c r="A142" s="152"/>
      <c r="B142" s="149"/>
      <c r="C142" s="3" t="s">
        <v>12</v>
      </c>
      <c r="D142" s="147"/>
      <c r="E142" s="147"/>
      <c r="F142" s="141"/>
      <c r="G142" s="145"/>
      <c r="H142" s="143"/>
      <c r="I142" s="143"/>
      <c r="J142" s="141"/>
      <c r="K142" s="141"/>
      <c r="L142" s="141"/>
      <c r="M142" s="141"/>
      <c r="N142" s="145"/>
      <c r="O142" s="143"/>
      <c r="P142" s="143"/>
      <c r="Q142" s="141"/>
      <c r="R142" s="141"/>
      <c r="S142" s="141"/>
      <c r="T142" s="159"/>
      <c r="U142" s="145"/>
      <c r="V142" s="143"/>
      <c r="W142" s="143"/>
      <c r="X142" s="141"/>
      <c r="Y142" s="141"/>
      <c r="Z142" s="145"/>
      <c r="AA142" s="145"/>
      <c r="AB142" s="141"/>
      <c r="AC142" s="143"/>
      <c r="AD142" s="143"/>
      <c r="AE142" s="143"/>
      <c r="AF142" s="143"/>
      <c r="AG142" s="141"/>
      <c r="AH142" s="157"/>
      <c r="AI142" s="155"/>
      <c r="AJ142" s="11"/>
      <c r="AK142" s="7"/>
      <c r="AL142" s="7"/>
      <c r="AM142" s="11"/>
      <c r="AN142" s="59"/>
      <c r="AO142" s="5"/>
      <c r="AP142" s="78"/>
      <c r="AQ142" s="135"/>
      <c r="AR142" s="5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20"/>
      <c r="BC142" s="120"/>
      <c r="BD142" s="120"/>
      <c r="BE142" s="120"/>
      <c r="BF142" s="120"/>
      <c r="BG142" s="120"/>
      <c r="BH142" s="120"/>
      <c r="BI142" s="120"/>
      <c r="BJ142" s="120"/>
      <c r="BK142" s="120"/>
      <c r="BL142" s="120"/>
      <c r="BM142" s="120"/>
      <c r="BN142" s="120"/>
      <c r="BO142"/>
      <c r="BP142"/>
      <c r="BQ142"/>
      <c r="BR142"/>
      <c r="BS142"/>
    </row>
    <row r="143" spans="1:71" s="2" customFormat="1" ht="22" thickBot="1" x14ac:dyDescent="0.3">
      <c r="A143" s="153"/>
      <c r="B143" s="150"/>
      <c r="C143" s="92" t="s">
        <v>4</v>
      </c>
      <c r="D143" s="88"/>
      <c r="E143" s="88"/>
      <c r="F143" s="88"/>
      <c r="G143" s="89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  <c r="AG143" s="88"/>
      <c r="AH143" s="90"/>
      <c r="AI143" s="36"/>
      <c r="AJ143" s="34"/>
      <c r="AK143" s="7"/>
      <c r="AL143" s="7"/>
      <c r="AM143" s="34"/>
      <c r="AN143" s="59"/>
      <c r="AO143" s="5"/>
      <c r="AP143" s="78"/>
      <c r="AQ143" s="135"/>
      <c r="AR143" s="5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20"/>
      <c r="BC143" s="120"/>
      <c r="BD143" s="120"/>
      <c r="BE143" s="120"/>
      <c r="BF143" s="120"/>
      <c r="BG143" s="120"/>
      <c r="BH143" s="120"/>
      <c r="BI143" s="120"/>
      <c r="BJ143" s="120"/>
      <c r="BK143" s="120"/>
      <c r="BL143" s="120"/>
      <c r="BM143" s="120"/>
      <c r="BN143" s="120"/>
      <c r="BO143"/>
      <c r="BP143"/>
      <c r="BQ143"/>
      <c r="BR143"/>
      <c r="BS143"/>
    </row>
    <row r="144" spans="1:71" s="2" customFormat="1" ht="20" thickTop="1" x14ac:dyDescent="0.25">
      <c r="A144" s="151">
        <v>46</v>
      </c>
      <c r="B144" s="148"/>
      <c r="C144" s="91" t="s">
        <v>11</v>
      </c>
      <c r="D144" s="146"/>
      <c r="E144" s="146"/>
      <c r="F144" s="140"/>
      <c r="G144" s="144"/>
      <c r="H144" s="142"/>
      <c r="I144" s="142"/>
      <c r="J144" s="140"/>
      <c r="K144" s="140"/>
      <c r="L144" s="140"/>
      <c r="M144" s="140"/>
      <c r="N144" s="144"/>
      <c r="O144" s="142"/>
      <c r="P144" s="142"/>
      <c r="Q144" s="140"/>
      <c r="R144" s="140"/>
      <c r="S144" s="140"/>
      <c r="T144" s="158"/>
      <c r="U144" s="144"/>
      <c r="V144" s="142"/>
      <c r="W144" s="142"/>
      <c r="X144" s="140"/>
      <c r="Y144" s="140"/>
      <c r="Z144" s="144"/>
      <c r="AA144" s="144"/>
      <c r="AB144" s="140"/>
      <c r="AC144" s="142"/>
      <c r="AD144" s="142"/>
      <c r="AE144" s="142"/>
      <c r="AF144" s="142"/>
      <c r="AG144" s="140"/>
      <c r="AH144" s="156"/>
      <c r="AI144" s="154">
        <f t="shared" ref="AI144" si="152">SUM(D144:AH144)</f>
        <v>0</v>
      </c>
      <c r="AJ144" s="87">
        <f>SUMIF(D146:AH146, "LL", D144:AH144) + SUMIF(D146:AH146, "LL", D145:AH145)</f>
        <v>0</v>
      </c>
      <c r="AK144" s="7"/>
      <c r="AL144" s="7"/>
      <c r="AM144" s="100">
        <f t="shared" ref="AM144" si="153">SUMIF(D146:AH146, "CO", D144:AH144) + SUMIF(D146:AH146, "CO", D145:AH145)</f>
        <v>0</v>
      </c>
      <c r="AN144" s="59">
        <f>SUM(AI144:AM144)</f>
        <v>0</v>
      </c>
      <c r="AO144" s="5"/>
      <c r="AP144" s="73"/>
      <c r="AQ144" s="135"/>
      <c r="AR144" s="5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20"/>
      <c r="BC144" s="120"/>
      <c r="BD144" s="120"/>
      <c r="BE144" s="120"/>
      <c r="BF144" s="120"/>
      <c r="BG144" s="120"/>
      <c r="BH144" s="120"/>
      <c r="BI144" s="120"/>
      <c r="BJ144" s="120"/>
      <c r="BK144" s="120"/>
      <c r="BL144" s="120"/>
      <c r="BM144" s="120"/>
      <c r="BN144" s="120"/>
      <c r="BO144"/>
      <c r="BP144"/>
      <c r="BQ144"/>
      <c r="BR144"/>
      <c r="BS144"/>
    </row>
    <row r="145" spans="1:71" s="2" customFormat="1" ht="21" x14ac:dyDescent="0.25">
      <c r="A145" s="152"/>
      <c r="B145" s="149"/>
      <c r="C145" s="3" t="s">
        <v>12</v>
      </c>
      <c r="D145" s="147"/>
      <c r="E145" s="147"/>
      <c r="F145" s="141"/>
      <c r="G145" s="145"/>
      <c r="H145" s="143"/>
      <c r="I145" s="143"/>
      <c r="J145" s="141"/>
      <c r="K145" s="141"/>
      <c r="L145" s="141"/>
      <c r="M145" s="141"/>
      <c r="N145" s="145"/>
      <c r="O145" s="143"/>
      <c r="P145" s="143"/>
      <c r="Q145" s="141"/>
      <c r="R145" s="141"/>
      <c r="S145" s="141"/>
      <c r="T145" s="159"/>
      <c r="U145" s="145"/>
      <c r="V145" s="143"/>
      <c r="W145" s="143"/>
      <c r="X145" s="141"/>
      <c r="Y145" s="141"/>
      <c r="Z145" s="145"/>
      <c r="AA145" s="145"/>
      <c r="AB145" s="141"/>
      <c r="AC145" s="143"/>
      <c r="AD145" s="143"/>
      <c r="AE145" s="143"/>
      <c r="AF145" s="143"/>
      <c r="AG145" s="141"/>
      <c r="AH145" s="157"/>
      <c r="AI145" s="155"/>
      <c r="AJ145" s="11"/>
      <c r="AK145" s="7"/>
      <c r="AL145" s="7"/>
      <c r="AM145" s="11"/>
      <c r="AN145" s="59"/>
      <c r="AO145" s="5"/>
      <c r="AP145" s="78"/>
      <c r="AQ145" s="135"/>
      <c r="AR145" s="5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20"/>
      <c r="BC145" s="120"/>
      <c r="BD145" s="120"/>
      <c r="BE145" s="120"/>
      <c r="BF145" s="120"/>
      <c r="BG145" s="120"/>
      <c r="BH145" s="120"/>
      <c r="BI145" s="120"/>
      <c r="BJ145" s="120"/>
      <c r="BK145" s="120"/>
      <c r="BL145" s="120"/>
      <c r="BM145" s="120"/>
      <c r="BN145" s="120"/>
      <c r="BO145"/>
      <c r="BP145"/>
      <c r="BQ145"/>
      <c r="BR145"/>
      <c r="BS145"/>
    </row>
    <row r="146" spans="1:71" s="2" customFormat="1" ht="22" thickBot="1" x14ac:dyDescent="0.3">
      <c r="A146" s="153"/>
      <c r="B146" s="150"/>
      <c r="C146" s="92" t="s">
        <v>4</v>
      </c>
      <c r="D146" s="88"/>
      <c r="E146" s="88"/>
      <c r="F146" s="88"/>
      <c r="G146" s="89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  <c r="AG146" s="88"/>
      <c r="AH146" s="90"/>
      <c r="AI146" s="36"/>
      <c r="AJ146" s="34"/>
      <c r="AK146" s="7"/>
      <c r="AL146" s="7"/>
      <c r="AM146" s="34"/>
      <c r="AN146" s="59"/>
      <c r="AO146" s="5"/>
      <c r="AP146" s="78"/>
      <c r="AQ146" s="135"/>
      <c r="AR146" s="5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20"/>
      <c r="BC146" s="120"/>
      <c r="BD146" s="120"/>
      <c r="BE146" s="120"/>
      <c r="BF146" s="120"/>
      <c r="BG146" s="120"/>
      <c r="BH146" s="120"/>
      <c r="BI146" s="120"/>
      <c r="BJ146" s="120"/>
      <c r="BK146" s="120"/>
      <c r="BL146" s="120"/>
      <c r="BM146" s="120"/>
      <c r="BN146" s="120"/>
      <c r="BO146"/>
      <c r="BP146"/>
      <c r="BQ146"/>
      <c r="BR146"/>
      <c r="BS146"/>
    </row>
    <row r="147" spans="1:71" s="2" customFormat="1" ht="20" thickTop="1" x14ac:dyDescent="0.25">
      <c r="A147" s="151">
        <v>47</v>
      </c>
      <c r="B147" s="148"/>
      <c r="C147" s="91" t="s">
        <v>11</v>
      </c>
      <c r="D147" s="146"/>
      <c r="E147" s="146"/>
      <c r="F147" s="140"/>
      <c r="G147" s="144"/>
      <c r="H147" s="142"/>
      <c r="I147" s="142"/>
      <c r="J147" s="140"/>
      <c r="K147" s="140"/>
      <c r="L147" s="140"/>
      <c r="M147" s="140"/>
      <c r="N147" s="144"/>
      <c r="O147" s="142"/>
      <c r="P147" s="142"/>
      <c r="Q147" s="140"/>
      <c r="R147" s="140"/>
      <c r="S147" s="140"/>
      <c r="T147" s="158"/>
      <c r="U147" s="144"/>
      <c r="V147" s="142"/>
      <c r="W147" s="142"/>
      <c r="X147" s="140"/>
      <c r="Y147" s="140"/>
      <c r="Z147" s="144"/>
      <c r="AA147" s="144"/>
      <c r="AB147" s="140"/>
      <c r="AC147" s="142"/>
      <c r="AD147" s="142"/>
      <c r="AE147" s="142"/>
      <c r="AF147" s="142"/>
      <c r="AG147" s="140"/>
      <c r="AH147" s="156"/>
      <c r="AI147" s="154">
        <f t="shared" ref="AI147" si="154">SUM(D147:AH147)</f>
        <v>0</v>
      </c>
      <c r="AJ147" s="86">
        <f>SUMIF(D149:AH149, "LL", D147:AH147) + SUMIF(D149:AH149, "LL", D148:AH148)</f>
        <v>0</v>
      </c>
      <c r="AK147" s="7"/>
      <c r="AL147" s="7"/>
      <c r="AM147" s="99">
        <f t="shared" ref="AM147" si="155">SUMIF(D149:AH149, "CO", D147:AH147) + SUMIF(D149:AH149, "CO", D148:AH148)</f>
        <v>0</v>
      </c>
      <c r="AN147" s="59">
        <f>SUM(AI147:AM147)</f>
        <v>0</v>
      </c>
      <c r="AO147" s="5"/>
      <c r="AP147" s="73"/>
      <c r="AQ147" s="135"/>
      <c r="AR147" s="5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20"/>
      <c r="BC147" s="120"/>
      <c r="BD147" s="120"/>
      <c r="BE147" s="120"/>
      <c r="BF147" s="120"/>
      <c r="BG147" s="120"/>
      <c r="BH147" s="120"/>
      <c r="BI147" s="120"/>
      <c r="BJ147" s="120"/>
      <c r="BK147" s="120"/>
      <c r="BL147" s="120"/>
      <c r="BM147" s="120"/>
      <c r="BN147" s="120"/>
      <c r="BO147"/>
      <c r="BP147"/>
      <c r="BQ147"/>
      <c r="BR147"/>
      <c r="BS147"/>
    </row>
    <row r="148" spans="1:71" s="2" customFormat="1" ht="21" x14ac:dyDescent="0.25">
      <c r="A148" s="152"/>
      <c r="B148" s="149"/>
      <c r="C148" s="3" t="s">
        <v>12</v>
      </c>
      <c r="D148" s="147"/>
      <c r="E148" s="147"/>
      <c r="F148" s="141"/>
      <c r="G148" s="145"/>
      <c r="H148" s="143"/>
      <c r="I148" s="143"/>
      <c r="J148" s="141"/>
      <c r="K148" s="141"/>
      <c r="L148" s="141"/>
      <c r="M148" s="141"/>
      <c r="N148" s="145"/>
      <c r="O148" s="143"/>
      <c r="P148" s="143"/>
      <c r="Q148" s="141"/>
      <c r="R148" s="141"/>
      <c r="S148" s="141"/>
      <c r="T148" s="159"/>
      <c r="U148" s="145"/>
      <c r="V148" s="143"/>
      <c r="W148" s="143"/>
      <c r="X148" s="141"/>
      <c r="Y148" s="141"/>
      <c r="Z148" s="145"/>
      <c r="AA148" s="145"/>
      <c r="AB148" s="141"/>
      <c r="AC148" s="143"/>
      <c r="AD148" s="143"/>
      <c r="AE148" s="143"/>
      <c r="AF148" s="143"/>
      <c r="AG148" s="141"/>
      <c r="AH148" s="157"/>
      <c r="AI148" s="155"/>
      <c r="AJ148" s="11"/>
      <c r="AK148" s="7"/>
      <c r="AL148" s="7"/>
      <c r="AM148" s="11"/>
      <c r="AN148" s="59"/>
      <c r="AO148" s="5"/>
      <c r="AP148" s="78"/>
      <c r="AQ148" s="135"/>
      <c r="AR148" s="5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20"/>
      <c r="BC148" s="120"/>
      <c r="BD148" s="120"/>
      <c r="BE148" s="120"/>
      <c r="BF148" s="120"/>
      <c r="BG148" s="120"/>
      <c r="BH148" s="120"/>
      <c r="BI148" s="120"/>
      <c r="BJ148" s="120"/>
      <c r="BK148" s="120"/>
      <c r="BL148" s="120"/>
      <c r="BM148" s="120"/>
      <c r="BN148" s="120"/>
      <c r="BO148"/>
      <c r="BP148"/>
      <c r="BQ148"/>
      <c r="BR148"/>
      <c r="BS148"/>
    </row>
    <row r="149" spans="1:71" s="2" customFormat="1" ht="22" thickBot="1" x14ac:dyDescent="0.3">
      <c r="A149" s="153"/>
      <c r="B149" s="150"/>
      <c r="C149" s="92" t="s">
        <v>4</v>
      </c>
      <c r="D149" s="88"/>
      <c r="E149" s="88"/>
      <c r="F149" s="88"/>
      <c r="G149" s="89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90"/>
      <c r="AI149" s="36"/>
      <c r="AJ149" s="34"/>
      <c r="AK149" s="7"/>
      <c r="AL149" s="7"/>
      <c r="AM149" s="34"/>
      <c r="AN149" s="59"/>
      <c r="AO149" s="5"/>
      <c r="AP149" s="78"/>
      <c r="AQ149" s="135"/>
      <c r="AR149" s="5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20"/>
      <c r="BC149" s="120"/>
      <c r="BD149" s="120"/>
      <c r="BE149" s="120"/>
      <c r="BF149" s="120"/>
      <c r="BG149" s="120"/>
      <c r="BH149" s="120"/>
      <c r="BI149" s="120"/>
      <c r="BJ149" s="120"/>
      <c r="BK149" s="120"/>
      <c r="BL149" s="120"/>
      <c r="BM149" s="120"/>
      <c r="BN149" s="120"/>
      <c r="BO149"/>
      <c r="BP149"/>
      <c r="BQ149"/>
      <c r="BR149"/>
      <c r="BS149"/>
    </row>
    <row r="150" spans="1:71" s="2" customFormat="1" ht="20" thickTop="1" x14ac:dyDescent="0.25">
      <c r="A150" s="151">
        <v>48</v>
      </c>
      <c r="B150" s="148"/>
      <c r="C150" s="91" t="s">
        <v>11</v>
      </c>
      <c r="D150" s="146"/>
      <c r="E150" s="146"/>
      <c r="F150" s="140"/>
      <c r="G150" s="144"/>
      <c r="H150" s="142"/>
      <c r="I150" s="142"/>
      <c r="J150" s="140"/>
      <c r="K150" s="140"/>
      <c r="L150" s="140"/>
      <c r="M150" s="140"/>
      <c r="N150" s="144"/>
      <c r="O150" s="142"/>
      <c r="P150" s="142"/>
      <c r="Q150" s="140"/>
      <c r="R150" s="140"/>
      <c r="S150" s="140"/>
      <c r="T150" s="158"/>
      <c r="U150" s="144"/>
      <c r="V150" s="142"/>
      <c r="W150" s="142"/>
      <c r="X150" s="140"/>
      <c r="Y150" s="140"/>
      <c r="Z150" s="144"/>
      <c r="AA150" s="144"/>
      <c r="AB150" s="140"/>
      <c r="AC150" s="142"/>
      <c r="AD150" s="142"/>
      <c r="AE150" s="142"/>
      <c r="AF150" s="142"/>
      <c r="AG150" s="140"/>
      <c r="AH150" s="156"/>
      <c r="AI150" s="154">
        <f t="shared" ref="AI150" si="156">SUM(D150:AH150)</f>
        <v>0</v>
      </c>
      <c r="AJ150" s="87">
        <f>SUMIF(D152:AH152, "LL", D150:AH150) + SUMIF(D152:AH152, "LL", D151:AH151)</f>
        <v>0</v>
      </c>
      <c r="AK150" s="7"/>
      <c r="AL150" s="7"/>
      <c r="AM150" s="100">
        <f t="shared" ref="AM150" si="157">SUMIF(D152:AH152, "CO", D150:AH150) + SUMIF(D152:AH152, "CO", D151:AH151)</f>
        <v>0</v>
      </c>
      <c r="AN150" s="59">
        <f>SUM(AI150:AM150)</f>
        <v>0</v>
      </c>
      <c r="AO150" s="5"/>
      <c r="AP150" s="73"/>
      <c r="AQ150" s="135"/>
      <c r="AR150" s="5"/>
      <c r="AS150" s="120"/>
      <c r="AT150" s="120"/>
      <c r="AU150" s="120"/>
      <c r="AV150" s="120"/>
      <c r="AW150" s="120"/>
      <c r="AX150" s="120"/>
      <c r="AY150" s="120"/>
      <c r="AZ150" s="120"/>
      <c r="BA150" s="120"/>
      <c r="BB150" s="120"/>
      <c r="BC150" s="120"/>
      <c r="BD150" s="120"/>
      <c r="BE150" s="120"/>
      <c r="BF150" s="120"/>
      <c r="BG150" s="120"/>
      <c r="BH150" s="120"/>
      <c r="BI150" s="120"/>
      <c r="BJ150" s="120"/>
      <c r="BK150" s="120"/>
      <c r="BL150" s="120"/>
      <c r="BM150" s="120"/>
      <c r="BN150" s="120"/>
      <c r="BO150"/>
      <c r="BP150"/>
      <c r="BQ150"/>
      <c r="BR150"/>
      <c r="BS150"/>
    </row>
    <row r="151" spans="1:71" s="2" customFormat="1" ht="21" x14ac:dyDescent="0.25">
      <c r="A151" s="152"/>
      <c r="B151" s="149"/>
      <c r="C151" s="3" t="s">
        <v>12</v>
      </c>
      <c r="D151" s="147"/>
      <c r="E151" s="147"/>
      <c r="F151" s="141"/>
      <c r="G151" s="145"/>
      <c r="H151" s="143"/>
      <c r="I151" s="143"/>
      <c r="J151" s="141"/>
      <c r="K151" s="141"/>
      <c r="L151" s="141"/>
      <c r="M151" s="141"/>
      <c r="N151" s="145"/>
      <c r="O151" s="143"/>
      <c r="P151" s="143"/>
      <c r="Q151" s="141"/>
      <c r="R151" s="141"/>
      <c r="S151" s="141"/>
      <c r="T151" s="159"/>
      <c r="U151" s="145"/>
      <c r="V151" s="143"/>
      <c r="W151" s="143"/>
      <c r="X151" s="141"/>
      <c r="Y151" s="141"/>
      <c r="Z151" s="145"/>
      <c r="AA151" s="145"/>
      <c r="AB151" s="141"/>
      <c r="AC151" s="143"/>
      <c r="AD151" s="143"/>
      <c r="AE151" s="143"/>
      <c r="AF151" s="143"/>
      <c r="AG151" s="141"/>
      <c r="AH151" s="157"/>
      <c r="AI151" s="155"/>
      <c r="AJ151" s="11"/>
      <c r="AK151" s="7"/>
      <c r="AL151" s="7"/>
      <c r="AM151" s="11"/>
      <c r="AN151" s="59"/>
      <c r="AO151" s="5"/>
      <c r="AP151" s="78"/>
      <c r="AQ151" s="135"/>
      <c r="AR151" s="5"/>
      <c r="AS151" s="120"/>
      <c r="AT151" s="120"/>
      <c r="AU151" s="120"/>
      <c r="AV151" s="120"/>
      <c r="AW151" s="120"/>
      <c r="AX151" s="120"/>
      <c r="AY151" s="120"/>
      <c r="AZ151" s="120"/>
      <c r="BA151" s="120"/>
      <c r="BB151" s="120"/>
      <c r="BC151" s="120"/>
      <c r="BD151" s="120"/>
      <c r="BE151" s="120"/>
      <c r="BF151" s="120"/>
      <c r="BG151" s="120"/>
      <c r="BH151" s="120"/>
      <c r="BI151" s="120"/>
      <c r="BJ151" s="120"/>
      <c r="BK151" s="120"/>
      <c r="BL151" s="120"/>
      <c r="BM151" s="120"/>
      <c r="BN151" s="120"/>
      <c r="BO151"/>
      <c r="BP151"/>
      <c r="BQ151"/>
      <c r="BR151"/>
      <c r="BS151"/>
    </row>
    <row r="152" spans="1:71" s="2" customFormat="1" ht="22" thickBot="1" x14ac:dyDescent="0.3">
      <c r="A152" s="153"/>
      <c r="B152" s="150"/>
      <c r="C152" s="92" t="s">
        <v>4</v>
      </c>
      <c r="D152" s="88"/>
      <c r="E152" s="88"/>
      <c r="F152" s="88"/>
      <c r="G152" s="89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90"/>
      <c r="AI152" s="36"/>
      <c r="AJ152" s="34"/>
      <c r="AK152" s="7"/>
      <c r="AL152" s="7"/>
      <c r="AM152" s="34"/>
      <c r="AN152" s="59"/>
      <c r="AO152" s="5"/>
      <c r="AP152" s="78"/>
      <c r="AQ152" s="135"/>
      <c r="AR152" s="5"/>
      <c r="AS152" s="120"/>
      <c r="AT152" s="120"/>
      <c r="AU152" s="120"/>
      <c r="AV152" s="120"/>
      <c r="AW152" s="120"/>
      <c r="AX152" s="120"/>
      <c r="AY152" s="120"/>
      <c r="AZ152" s="120"/>
      <c r="BA152" s="120"/>
      <c r="BB152" s="120"/>
      <c r="BC152" s="120"/>
      <c r="BD152" s="120"/>
      <c r="BE152" s="120"/>
      <c r="BF152" s="120"/>
      <c r="BG152" s="120"/>
      <c r="BH152" s="120"/>
      <c r="BI152" s="120"/>
      <c r="BJ152" s="120"/>
      <c r="BK152" s="120"/>
      <c r="BL152" s="120"/>
      <c r="BM152" s="120"/>
      <c r="BN152" s="120"/>
      <c r="BO152"/>
      <c r="BP152"/>
      <c r="BQ152"/>
      <c r="BR152"/>
      <c r="BS152"/>
    </row>
    <row r="153" spans="1:71" s="2" customFormat="1" ht="20" thickTop="1" x14ac:dyDescent="0.25">
      <c r="A153" s="151">
        <v>49</v>
      </c>
      <c r="B153" s="148"/>
      <c r="C153" s="91" t="s">
        <v>11</v>
      </c>
      <c r="D153" s="146"/>
      <c r="E153" s="146"/>
      <c r="F153" s="140"/>
      <c r="G153" s="144"/>
      <c r="H153" s="142"/>
      <c r="I153" s="142"/>
      <c r="J153" s="140"/>
      <c r="K153" s="140"/>
      <c r="L153" s="140"/>
      <c r="M153" s="140"/>
      <c r="N153" s="144"/>
      <c r="O153" s="142"/>
      <c r="P153" s="142"/>
      <c r="Q153" s="140"/>
      <c r="R153" s="140"/>
      <c r="S153" s="140"/>
      <c r="T153" s="158"/>
      <c r="U153" s="144"/>
      <c r="V153" s="142"/>
      <c r="W153" s="142"/>
      <c r="X153" s="140"/>
      <c r="Y153" s="140"/>
      <c r="Z153" s="144"/>
      <c r="AA153" s="144"/>
      <c r="AB153" s="140"/>
      <c r="AC153" s="142"/>
      <c r="AD153" s="142"/>
      <c r="AE153" s="142"/>
      <c r="AF153" s="142"/>
      <c r="AG153" s="140"/>
      <c r="AH153" s="156"/>
      <c r="AI153" s="154">
        <f t="shared" ref="AI153" si="158">SUM(D153:AH153)</f>
        <v>0</v>
      </c>
      <c r="AJ153" s="86">
        <f>SUMIF(D155:AH155, "LL", D153:AH153) + SUMIF(D155:AH155, "LL", D154:AH154)</f>
        <v>0</v>
      </c>
      <c r="AK153" s="7"/>
      <c r="AL153" s="7"/>
      <c r="AM153" s="99">
        <f t="shared" ref="AM153" si="159">SUMIF(D155:AH155, "CO", D153:AH153) + SUMIF(D155:AH155, "CO", D154:AH154)</f>
        <v>0</v>
      </c>
      <c r="AN153" s="59">
        <f>SUM(AI153:AM153)</f>
        <v>0</v>
      </c>
      <c r="AO153" s="5"/>
      <c r="AP153" s="73"/>
      <c r="AQ153" s="135"/>
      <c r="AR153" s="5"/>
      <c r="AS153" s="120"/>
      <c r="AT153" s="120"/>
      <c r="AU153" s="120"/>
      <c r="AV153" s="120"/>
      <c r="AW153" s="120"/>
      <c r="AX153" s="120"/>
      <c r="AY153" s="120"/>
      <c r="AZ153" s="120"/>
      <c r="BA153" s="120"/>
      <c r="BB153" s="120"/>
      <c r="BC153" s="120"/>
      <c r="BD153" s="120"/>
      <c r="BE153" s="120"/>
      <c r="BF153" s="120"/>
      <c r="BG153" s="120"/>
      <c r="BH153" s="120"/>
      <c r="BI153" s="120"/>
      <c r="BJ153" s="120"/>
      <c r="BK153" s="120"/>
      <c r="BL153" s="120"/>
      <c r="BM153" s="120"/>
      <c r="BN153" s="120"/>
      <c r="BO153"/>
      <c r="BP153"/>
      <c r="BQ153"/>
      <c r="BR153"/>
      <c r="BS153"/>
    </row>
    <row r="154" spans="1:71" s="2" customFormat="1" ht="21" x14ac:dyDescent="0.25">
      <c r="A154" s="152"/>
      <c r="B154" s="149"/>
      <c r="C154" s="3" t="s">
        <v>12</v>
      </c>
      <c r="D154" s="147"/>
      <c r="E154" s="147"/>
      <c r="F154" s="141"/>
      <c r="G154" s="145"/>
      <c r="H154" s="143"/>
      <c r="I154" s="143"/>
      <c r="J154" s="141"/>
      <c r="K154" s="141"/>
      <c r="L154" s="141"/>
      <c r="M154" s="141"/>
      <c r="N154" s="145"/>
      <c r="O154" s="143"/>
      <c r="P154" s="143"/>
      <c r="Q154" s="141"/>
      <c r="R154" s="141"/>
      <c r="S154" s="141"/>
      <c r="T154" s="159"/>
      <c r="U154" s="145"/>
      <c r="V154" s="143"/>
      <c r="W154" s="143"/>
      <c r="X154" s="141"/>
      <c r="Y154" s="141"/>
      <c r="Z154" s="145"/>
      <c r="AA154" s="145"/>
      <c r="AB154" s="141"/>
      <c r="AC154" s="143"/>
      <c r="AD154" s="143"/>
      <c r="AE154" s="143"/>
      <c r="AF154" s="143"/>
      <c r="AG154" s="141"/>
      <c r="AH154" s="157"/>
      <c r="AI154" s="155"/>
      <c r="AJ154" s="11"/>
      <c r="AK154" s="7"/>
      <c r="AL154" s="7"/>
      <c r="AM154" s="11"/>
      <c r="AN154" s="59"/>
      <c r="AO154" s="5"/>
      <c r="AP154" s="78"/>
      <c r="AQ154" s="135"/>
      <c r="AR154" s="5"/>
      <c r="AS154" s="120"/>
      <c r="AT154" s="120"/>
      <c r="AU154" s="120"/>
      <c r="AV154" s="120"/>
      <c r="AW154" s="120"/>
      <c r="AX154" s="120"/>
      <c r="AY154" s="120"/>
      <c r="AZ154" s="120"/>
      <c r="BA154" s="120"/>
      <c r="BB154" s="120"/>
      <c r="BC154" s="120"/>
      <c r="BD154" s="120"/>
      <c r="BE154" s="120"/>
      <c r="BF154" s="120"/>
      <c r="BG154" s="120"/>
      <c r="BH154" s="120"/>
      <c r="BI154" s="120"/>
      <c r="BJ154" s="120"/>
      <c r="BK154" s="120"/>
      <c r="BL154" s="120"/>
      <c r="BM154" s="120"/>
      <c r="BN154" s="120"/>
      <c r="BO154"/>
      <c r="BP154"/>
      <c r="BQ154"/>
      <c r="BR154"/>
      <c r="BS154"/>
    </row>
    <row r="155" spans="1:71" s="2" customFormat="1" ht="22" thickBot="1" x14ac:dyDescent="0.3">
      <c r="A155" s="153"/>
      <c r="B155" s="150"/>
      <c r="C155" s="92" t="s">
        <v>4</v>
      </c>
      <c r="D155" s="88"/>
      <c r="E155" s="88"/>
      <c r="F155" s="88"/>
      <c r="G155" s="89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  <c r="AD155" s="88"/>
      <c r="AE155" s="88"/>
      <c r="AF155" s="88"/>
      <c r="AG155" s="88"/>
      <c r="AH155" s="90"/>
      <c r="AI155" s="36"/>
      <c r="AJ155" s="34"/>
      <c r="AK155" s="7"/>
      <c r="AL155" s="7"/>
      <c r="AM155" s="34"/>
      <c r="AN155" s="59"/>
      <c r="AO155" s="5"/>
      <c r="AP155" s="78"/>
      <c r="AQ155" s="135"/>
      <c r="AR155" s="5"/>
      <c r="AS155" s="120"/>
      <c r="AT155" s="120"/>
      <c r="AU155" s="120"/>
      <c r="AV155" s="120"/>
      <c r="AW155" s="120"/>
      <c r="AX155" s="120"/>
      <c r="AY155" s="120"/>
      <c r="AZ155" s="120"/>
      <c r="BA155" s="120"/>
      <c r="BB155" s="120"/>
      <c r="BC155" s="120"/>
      <c r="BD155" s="120"/>
      <c r="BE155" s="120"/>
      <c r="BF155" s="120"/>
      <c r="BG155" s="120"/>
      <c r="BH155" s="120"/>
      <c r="BI155" s="120"/>
      <c r="BJ155" s="120"/>
      <c r="BK155" s="120"/>
      <c r="BL155" s="120"/>
      <c r="BM155" s="120"/>
      <c r="BN155" s="120"/>
      <c r="BO155"/>
      <c r="BP155"/>
      <c r="BQ155"/>
      <c r="BR155"/>
      <c r="BS155"/>
    </row>
    <row r="156" spans="1:71" s="2" customFormat="1" ht="20" thickTop="1" x14ac:dyDescent="0.25">
      <c r="A156" s="151">
        <v>50</v>
      </c>
      <c r="B156" s="148"/>
      <c r="C156" s="91" t="s">
        <v>11</v>
      </c>
      <c r="D156" s="146"/>
      <c r="E156" s="146"/>
      <c r="F156" s="140"/>
      <c r="G156" s="144"/>
      <c r="H156" s="142"/>
      <c r="I156" s="142"/>
      <c r="J156" s="140"/>
      <c r="K156" s="140"/>
      <c r="L156" s="140"/>
      <c r="M156" s="140"/>
      <c r="N156" s="144"/>
      <c r="O156" s="142"/>
      <c r="P156" s="142"/>
      <c r="Q156" s="140"/>
      <c r="R156" s="140"/>
      <c r="S156" s="140"/>
      <c r="T156" s="158"/>
      <c r="U156" s="144"/>
      <c r="V156" s="142"/>
      <c r="W156" s="142"/>
      <c r="X156" s="140"/>
      <c r="Y156" s="140"/>
      <c r="Z156" s="144"/>
      <c r="AA156" s="144"/>
      <c r="AB156" s="140"/>
      <c r="AC156" s="142"/>
      <c r="AD156" s="142"/>
      <c r="AE156" s="142"/>
      <c r="AF156" s="142"/>
      <c r="AG156" s="140"/>
      <c r="AH156" s="156"/>
      <c r="AI156" s="154">
        <f t="shared" ref="AI156" si="160">SUM(D156:AH156)</f>
        <v>0</v>
      </c>
      <c r="AJ156" s="87">
        <f>SUMIF(D158:AH158, "LL", D156:AH156) + SUMIF(D158:AH158, "LL", D157:AH157)</f>
        <v>0</v>
      </c>
      <c r="AK156" s="7"/>
      <c r="AL156" s="7"/>
      <c r="AM156" s="100">
        <f t="shared" ref="AM156" si="161">SUMIF(D158:AH158, "CO", D156:AH156) + SUMIF(D158:AH158, "CO", D157:AH157)</f>
        <v>0</v>
      </c>
      <c r="AN156" s="59">
        <f>SUM(AI156:AM156)</f>
        <v>0</v>
      </c>
      <c r="AO156" s="5"/>
      <c r="AP156" s="73"/>
      <c r="AQ156" s="135"/>
      <c r="AR156" s="5"/>
      <c r="AS156" s="120"/>
      <c r="AT156" s="120"/>
      <c r="AU156" s="120"/>
      <c r="AV156" s="120"/>
      <c r="AW156" s="120"/>
      <c r="AX156" s="120"/>
      <c r="AY156" s="120"/>
      <c r="AZ156" s="120"/>
      <c r="BA156" s="120"/>
      <c r="BB156" s="120"/>
      <c r="BC156" s="120"/>
      <c r="BD156" s="120"/>
      <c r="BE156" s="120"/>
      <c r="BF156" s="120"/>
      <c r="BG156" s="120"/>
      <c r="BH156" s="120"/>
      <c r="BI156" s="120"/>
      <c r="BJ156" s="120"/>
      <c r="BK156" s="120"/>
      <c r="BL156" s="120"/>
      <c r="BM156" s="120"/>
      <c r="BN156" s="120"/>
      <c r="BO156"/>
      <c r="BP156"/>
      <c r="BQ156"/>
      <c r="BR156"/>
      <c r="BS156"/>
    </row>
    <row r="157" spans="1:71" s="2" customFormat="1" ht="21" x14ac:dyDescent="0.25">
      <c r="A157" s="152"/>
      <c r="B157" s="149"/>
      <c r="C157" s="3" t="s">
        <v>12</v>
      </c>
      <c r="D157" s="147"/>
      <c r="E157" s="147"/>
      <c r="F157" s="141"/>
      <c r="G157" s="145"/>
      <c r="H157" s="143"/>
      <c r="I157" s="143"/>
      <c r="J157" s="141"/>
      <c r="K157" s="141"/>
      <c r="L157" s="141"/>
      <c r="M157" s="141"/>
      <c r="N157" s="145"/>
      <c r="O157" s="143"/>
      <c r="P157" s="143"/>
      <c r="Q157" s="141"/>
      <c r="R157" s="141"/>
      <c r="S157" s="141"/>
      <c r="T157" s="159"/>
      <c r="U157" s="145"/>
      <c r="V157" s="143"/>
      <c r="W157" s="143"/>
      <c r="X157" s="141"/>
      <c r="Y157" s="141"/>
      <c r="Z157" s="145"/>
      <c r="AA157" s="145"/>
      <c r="AB157" s="141"/>
      <c r="AC157" s="143"/>
      <c r="AD157" s="143"/>
      <c r="AE157" s="143"/>
      <c r="AF157" s="143"/>
      <c r="AG157" s="141"/>
      <c r="AH157" s="157"/>
      <c r="AI157" s="155"/>
      <c r="AJ157" s="11"/>
      <c r="AK157" s="7"/>
      <c r="AL157" s="7"/>
      <c r="AM157" s="11"/>
      <c r="AN157" s="59"/>
      <c r="AO157" s="5"/>
      <c r="AP157" s="78"/>
      <c r="AQ157" s="135"/>
      <c r="AR157" s="5"/>
      <c r="AS157" s="120"/>
      <c r="AT157" s="120"/>
      <c r="AU157" s="120"/>
      <c r="AV157" s="120"/>
      <c r="AW157" s="120"/>
      <c r="AX157" s="120"/>
      <c r="AY157" s="120"/>
      <c r="AZ157" s="120"/>
      <c r="BA157" s="120"/>
      <c r="BB157" s="120"/>
      <c r="BC157" s="120"/>
      <c r="BD157" s="120"/>
      <c r="BE157" s="120"/>
      <c r="BF157" s="120"/>
      <c r="BG157" s="120"/>
      <c r="BH157" s="120"/>
      <c r="BI157" s="120"/>
      <c r="BJ157" s="120"/>
      <c r="BK157" s="120"/>
      <c r="BL157" s="120"/>
      <c r="BM157" s="120"/>
      <c r="BN157" s="120"/>
      <c r="BO157"/>
      <c r="BP157"/>
      <c r="BQ157"/>
      <c r="BR157"/>
      <c r="BS157"/>
    </row>
    <row r="158" spans="1:71" s="2" customFormat="1" ht="22" thickBot="1" x14ac:dyDescent="0.3">
      <c r="A158" s="153"/>
      <c r="B158" s="150"/>
      <c r="C158" s="92" t="s">
        <v>4</v>
      </c>
      <c r="D158" s="88"/>
      <c r="E158" s="88"/>
      <c r="F158" s="88"/>
      <c r="G158" s="89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90"/>
      <c r="AI158" s="36"/>
      <c r="AJ158" s="34"/>
      <c r="AK158" s="7"/>
      <c r="AL158" s="7"/>
      <c r="AM158" s="34"/>
      <c r="AN158" s="59"/>
      <c r="AO158" s="5"/>
      <c r="AP158" s="78"/>
      <c r="AQ158" s="135"/>
      <c r="AR158" s="5"/>
      <c r="AS158" s="120"/>
      <c r="AT158" s="120"/>
      <c r="AU158" s="120"/>
      <c r="AV158" s="120"/>
      <c r="AW158" s="120"/>
      <c r="AX158" s="120"/>
      <c r="AY158" s="120"/>
      <c r="AZ158" s="120"/>
      <c r="BA158" s="120"/>
      <c r="BB158" s="120"/>
      <c r="BC158" s="120"/>
      <c r="BD158" s="120"/>
      <c r="BE158" s="120"/>
      <c r="BF158" s="120"/>
      <c r="BG158" s="120"/>
      <c r="BH158" s="120"/>
      <c r="BI158" s="120"/>
      <c r="BJ158" s="120"/>
      <c r="BK158" s="120"/>
      <c r="BL158" s="120"/>
      <c r="BM158" s="120"/>
      <c r="BN158" s="120"/>
      <c r="BO158"/>
      <c r="BP158"/>
      <c r="BQ158"/>
      <c r="BR158"/>
      <c r="BS158"/>
    </row>
    <row r="159" spans="1:71" s="2" customFormat="1" ht="20" thickTop="1" x14ac:dyDescent="0.25">
      <c r="A159" s="151">
        <v>51</v>
      </c>
      <c r="B159" s="148"/>
      <c r="C159" s="91" t="s">
        <v>11</v>
      </c>
      <c r="D159" s="146"/>
      <c r="E159" s="146"/>
      <c r="F159" s="140"/>
      <c r="G159" s="144"/>
      <c r="H159" s="142"/>
      <c r="I159" s="142"/>
      <c r="J159" s="140"/>
      <c r="K159" s="140"/>
      <c r="L159" s="140"/>
      <c r="M159" s="140"/>
      <c r="N159" s="144"/>
      <c r="O159" s="142"/>
      <c r="P159" s="142"/>
      <c r="Q159" s="140"/>
      <c r="R159" s="140"/>
      <c r="S159" s="140"/>
      <c r="T159" s="158"/>
      <c r="U159" s="144"/>
      <c r="V159" s="142"/>
      <c r="W159" s="142"/>
      <c r="X159" s="140"/>
      <c r="Y159" s="140"/>
      <c r="Z159" s="144"/>
      <c r="AA159" s="144"/>
      <c r="AB159" s="140"/>
      <c r="AC159" s="142"/>
      <c r="AD159" s="142"/>
      <c r="AE159" s="142"/>
      <c r="AF159" s="142"/>
      <c r="AG159" s="140"/>
      <c r="AH159" s="156"/>
      <c r="AI159" s="154">
        <f t="shared" ref="AI159" si="162">SUM(D159:AH159)</f>
        <v>0</v>
      </c>
      <c r="AJ159" s="86">
        <f>SUMIF(D161:AH161, "LL", D159:AH159) + SUMIF(D161:AH161, "LL", D160:AH160)</f>
        <v>0</v>
      </c>
      <c r="AK159" s="7"/>
      <c r="AL159" s="7"/>
      <c r="AM159" s="99">
        <f t="shared" ref="AM159" si="163">SUMIF(D161:AH161, "CO", D159:AH159) + SUMIF(D161:AH161, "CO", D160:AH160)</f>
        <v>0</v>
      </c>
      <c r="AN159" s="59">
        <f t="shared" ref="AN159" si="164">SUM(AI159:AM159)</f>
        <v>0</v>
      </c>
      <c r="AO159" s="5"/>
      <c r="AP159" s="73"/>
      <c r="AQ159" s="135"/>
      <c r="AR159" s="5"/>
      <c r="AS159" s="120"/>
      <c r="AT159" s="120"/>
      <c r="AU159" s="120"/>
      <c r="AV159" s="120"/>
      <c r="AW159" s="120"/>
      <c r="AX159" s="120"/>
      <c r="AY159" s="120"/>
      <c r="AZ159" s="120"/>
      <c r="BA159" s="120"/>
      <c r="BB159" s="120"/>
      <c r="BC159" s="120"/>
      <c r="BD159" s="120"/>
      <c r="BE159" s="120"/>
      <c r="BF159" s="120"/>
      <c r="BG159" s="120"/>
      <c r="BH159" s="120"/>
      <c r="BI159" s="120"/>
      <c r="BJ159" s="120"/>
      <c r="BK159" s="120"/>
      <c r="BL159" s="120"/>
      <c r="BM159" s="120"/>
      <c r="BN159" s="120"/>
      <c r="BO159"/>
      <c r="BP159"/>
      <c r="BQ159"/>
      <c r="BR159"/>
      <c r="BS159"/>
    </row>
    <row r="160" spans="1:71" s="2" customFormat="1" ht="21" x14ac:dyDescent="0.25">
      <c r="A160" s="152"/>
      <c r="B160" s="149"/>
      <c r="C160" s="3" t="s">
        <v>12</v>
      </c>
      <c r="D160" s="147"/>
      <c r="E160" s="147"/>
      <c r="F160" s="141"/>
      <c r="G160" s="145"/>
      <c r="H160" s="143"/>
      <c r="I160" s="143"/>
      <c r="J160" s="141"/>
      <c r="K160" s="141"/>
      <c r="L160" s="141"/>
      <c r="M160" s="141"/>
      <c r="N160" s="145"/>
      <c r="O160" s="143"/>
      <c r="P160" s="143"/>
      <c r="Q160" s="141"/>
      <c r="R160" s="141"/>
      <c r="S160" s="141"/>
      <c r="T160" s="159"/>
      <c r="U160" s="145"/>
      <c r="V160" s="143"/>
      <c r="W160" s="143"/>
      <c r="X160" s="141"/>
      <c r="Y160" s="141"/>
      <c r="Z160" s="145"/>
      <c r="AA160" s="145"/>
      <c r="AB160" s="141"/>
      <c r="AC160" s="143"/>
      <c r="AD160" s="143"/>
      <c r="AE160" s="143"/>
      <c r="AF160" s="143"/>
      <c r="AG160" s="141"/>
      <c r="AH160" s="157"/>
      <c r="AI160" s="155"/>
      <c r="AJ160" s="11"/>
      <c r="AK160" s="7"/>
      <c r="AL160" s="7"/>
      <c r="AM160" s="11"/>
      <c r="AN160" s="59"/>
      <c r="AO160" s="5"/>
      <c r="AP160" s="78"/>
      <c r="AQ160" s="135"/>
      <c r="AR160" s="5"/>
      <c r="AS160" s="120"/>
      <c r="AT160" s="120"/>
      <c r="AU160" s="120"/>
      <c r="AV160" s="120"/>
      <c r="AW160" s="120"/>
      <c r="AX160" s="120"/>
      <c r="AY160" s="120"/>
      <c r="AZ160" s="120"/>
      <c r="BA160" s="120"/>
      <c r="BB160" s="120"/>
      <c r="BC160" s="120"/>
      <c r="BD160" s="120"/>
      <c r="BE160" s="120"/>
      <c r="BF160" s="120"/>
      <c r="BG160" s="120"/>
      <c r="BH160" s="120"/>
      <c r="BI160" s="120"/>
      <c r="BJ160" s="120"/>
      <c r="BK160" s="120"/>
      <c r="BL160" s="120"/>
      <c r="BM160" s="120"/>
      <c r="BN160" s="120"/>
      <c r="BO160"/>
      <c r="BP160"/>
      <c r="BQ160"/>
      <c r="BR160"/>
      <c r="BS160"/>
    </row>
    <row r="161" spans="1:71" s="2" customFormat="1" ht="22" thickBot="1" x14ac:dyDescent="0.3">
      <c r="A161" s="153"/>
      <c r="B161" s="150"/>
      <c r="C161" s="92" t="s">
        <v>4</v>
      </c>
      <c r="D161" s="88"/>
      <c r="E161" s="88"/>
      <c r="F161" s="88"/>
      <c r="G161" s="89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90"/>
      <c r="AI161" s="36"/>
      <c r="AJ161" s="34"/>
      <c r="AK161" s="7"/>
      <c r="AL161" s="7"/>
      <c r="AM161" s="34"/>
      <c r="AN161" s="59"/>
      <c r="AO161" s="5"/>
      <c r="AP161" s="78"/>
      <c r="AQ161" s="135"/>
      <c r="AR161" s="5"/>
      <c r="AS161" s="120"/>
      <c r="AT161" s="120"/>
      <c r="AU161" s="120"/>
      <c r="AV161" s="120"/>
      <c r="AW161" s="120"/>
      <c r="AX161" s="120"/>
      <c r="AY161" s="120"/>
      <c r="AZ161" s="120"/>
      <c r="BA161" s="120"/>
      <c r="BB161" s="120"/>
      <c r="BC161" s="120"/>
      <c r="BD161" s="120"/>
      <c r="BE161" s="120"/>
      <c r="BF161" s="120"/>
      <c r="BG161" s="120"/>
      <c r="BH161" s="120"/>
      <c r="BI161" s="120"/>
      <c r="BJ161" s="120"/>
      <c r="BK161" s="120"/>
      <c r="BL161" s="120"/>
      <c r="BM161" s="120"/>
      <c r="BN161" s="120"/>
      <c r="BO161"/>
      <c r="BP161"/>
      <c r="BQ161"/>
      <c r="BR161"/>
      <c r="BS161"/>
    </row>
    <row r="162" spans="1:71" s="2" customFormat="1" ht="20" thickTop="1" x14ac:dyDescent="0.25">
      <c r="A162" s="151">
        <v>52</v>
      </c>
      <c r="B162" s="148"/>
      <c r="C162" s="91" t="s">
        <v>11</v>
      </c>
      <c r="D162" s="146"/>
      <c r="E162" s="146"/>
      <c r="F162" s="140"/>
      <c r="G162" s="144"/>
      <c r="H162" s="142"/>
      <c r="I162" s="142"/>
      <c r="J162" s="140"/>
      <c r="K162" s="140"/>
      <c r="L162" s="140"/>
      <c r="M162" s="140"/>
      <c r="N162" s="144"/>
      <c r="O162" s="142"/>
      <c r="P162" s="142"/>
      <c r="Q162" s="140"/>
      <c r="R162" s="140"/>
      <c r="S162" s="140"/>
      <c r="T162" s="158"/>
      <c r="U162" s="144"/>
      <c r="V162" s="142"/>
      <c r="W162" s="142"/>
      <c r="X162" s="140"/>
      <c r="Y162" s="140"/>
      <c r="Z162" s="144"/>
      <c r="AA162" s="144"/>
      <c r="AB162" s="140"/>
      <c r="AC162" s="142"/>
      <c r="AD162" s="142"/>
      <c r="AE162" s="142"/>
      <c r="AF162" s="142"/>
      <c r="AG162" s="140"/>
      <c r="AH162" s="156"/>
      <c r="AI162" s="154">
        <f t="shared" ref="AI162" si="165">SUM(D162:AH162)</f>
        <v>0</v>
      </c>
      <c r="AJ162" s="87">
        <f>SUMIF(D164:AH164, "LL", D162:AH162) + SUMIF(D164:AH164, "LL", D163:AH163)</f>
        <v>0</v>
      </c>
      <c r="AK162" s="7"/>
      <c r="AL162" s="7"/>
      <c r="AM162" s="100">
        <f t="shared" ref="AM162" si="166">SUMIF(D164:AH164, "CO", D162:AH162) + SUMIF(D164:AH164, "CO", D163:AH163)</f>
        <v>0</v>
      </c>
      <c r="AN162" s="59">
        <f t="shared" ref="AN162" si="167">SUM(AI162:AM162)</f>
        <v>0</v>
      </c>
      <c r="AO162" s="5"/>
      <c r="AP162" s="73"/>
      <c r="AQ162" s="135"/>
      <c r="AR162" s="5"/>
      <c r="AS162" s="120"/>
      <c r="AT162" s="120"/>
      <c r="AU162" s="120"/>
      <c r="AV162" s="120"/>
      <c r="AW162" s="120"/>
      <c r="AX162" s="120"/>
      <c r="AY162" s="120"/>
      <c r="AZ162" s="120"/>
      <c r="BA162" s="120"/>
      <c r="BB162" s="120"/>
      <c r="BC162" s="120"/>
      <c r="BD162" s="120"/>
      <c r="BE162" s="120"/>
      <c r="BF162" s="120"/>
      <c r="BG162" s="120"/>
      <c r="BH162" s="120"/>
      <c r="BI162" s="120"/>
      <c r="BJ162" s="120"/>
      <c r="BK162" s="120"/>
      <c r="BL162" s="120"/>
      <c r="BM162" s="120"/>
      <c r="BN162" s="120"/>
      <c r="BO162"/>
      <c r="BP162"/>
      <c r="BQ162"/>
      <c r="BR162"/>
      <c r="BS162"/>
    </row>
    <row r="163" spans="1:71" s="2" customFormat="1" ht="21" x14ac:dyDescent="0.25">
      <c r="A163" s="152"/>
      <c r="B163" s="149"/>
      <c r="C163" s="3" t="s">
        <v>12</v>
      </c>
      <c r="D163" s="147"/>
      <c r="E163" s="147"/>
      <c r="F163" s="141"/>
      <c r="G163" s="145"/>
      <c r="H163" s="143"/>
      <c r="I163" s="143"/>
      <c r="J163" s="141"/>
      <c r="K163" s="141"/>
      <c r="L163" s="141"/>
      <c r="M163" s="141"/>
      <c r="N163" s="145"/>
      <c r="O163" s="143"/>
      <c r="P163" s="143"/>
      <c r="Q163" s="141"/>
      <c r="R163" s="141"/>
      <c r="S163" s="141"/>
      <c r="T163" s="159"/>
      <c r="U163" s="145"/>
      <c r="V163" s="143"/>
      <c r="W163" s="143"/>
      <c r="X163" s="141"/>
      <c r="Y163" s="141"/>
      <c r="Z163" s="145"/>
      <c r="AA163" s="145"/>
      <c r="AB163" s="141"/>
      <c r="AC163" s="143"/>
      <c r="AD163" s="143"/>
      <c r="AE163" s="143"/>
      <c r="AF163" s="143"/>
      <c r="AG163" s="141"/>
      <c r="AH163" s="157"/>
      <c r="AI163" s="155"/>
      <c r="AJ163" s="11"/>
      <c r="AK163" s="7"/>
      <c r="AL163" s="7"/>
      <c r="AM163" s="11"/>
      <c r="AN163" s="59"/>
      <c r="AO163" s="5"/>
      <c r="AP163" s="78"/>
      <c r="AQ163" s="135"/>
      <c r="AR163" s="5"/>
      <c r="AS163" s="120"/>
      <c r="AT163" s="120"/>
      <c r="AU163" s="120"/>
      <c r="AV163" s="120"/>
      <c r="AW163" s="120"/>
      <c r="AX163" s="120"/>
      <c r="AY163" s="120"/>
      <c r="AZ163" s="120"/>
      <c r="BA163" s="120"/>
      <c r="BB163" s="120"/>
      <c r="BC163" s="120"/>
      <c r="BD163" s="120"/>
      <c r="BE163" s="120"/>
      <c r="BF163" s="120"/>
      <c r="BG163" s="120"/>
      <c r="BH163" s="120"/>
      <c r="BI163" s="120"/>
      <c r="BJ163" s="120"/>
      <c r="BK163" s="120"/>
      <c r="BL163" s="120"/>
      <c r="BM163" s="120"/>
      <c r="BN163" s="120"/>
      <c r="BO163"/>
      <c r="BP163"/>
      <c r="BQ163"/>
      <c r="BR163"/>
      <c r="BS163"/>
    </row>
    <row r="164" spans="1:71" s="2" customFormat="1" ht="22" thickBot="1" x14ac:dyDescent="0.3">
      <c r="A164" s="153"/>
      <c r="B164" s="150"/>
      <c r="C164" s="92" t="s">
        <v>4</v>
      </c>
      <c r="D164" s="88"/>
      <c r="E164" s="88"/>
      <c r="F164" s="88"/>
      <c r="G164" s="89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90"/>
      <c r="AI164" s="36"/>
      <c r="AJ164" s="34"/>
      <c r="AK164" s="7"/>
      <c r="AL164" s="7"/>
      <c r="AM164" s="34"/>
      <c r="AN164" s="59"/>
      <c r="AO164" s="5"/>
      <c r="AP164" s="78"/>
      <c r="AQ164" s="135"/>
      <c r="AR164" s="5"/>
      <c r="AS164" s="120"/>
      <c r="AT164" s="120"/>
      <c r="AU164" s="120"/>
      <c r="AV164" s="120"/>
      <c r="AW164" s="120"/>
      <c r="AX164" s="120"/>
      <c r="AY164" s="120"/>
      <c r="AZ164" s="120"/>
      <c r="BA164" s="120"/>
      <c r="BB164" s="120"/>
      <c r="BC164" s="120"/>
      <c r="BD164" s="120"/>
      <c r="BE164" s="120"/>
      <c r="BF164" s="120"/>
      <c r="BG164" s="120"/>
      <c r="BH164" s="120"/>
      <c r="BI164" s="120"/>
      <c r="BJ164" s="120"/>
      <c r="BK164" s="120"/>
      <c r="BL164" s="120"/>
      <c r="BM164" s="120"/>
      <c r="BN164" s="120"/>
      <c r="BO164"/>
      <c r="BP164"/>
      <c r="BQ164"/>
      <c r="BR164"/>
      <c r="BS164"/>
    </row>
    <row r="165" spans="1:71" s="2" customFormat="1" ht="20" thickTop="1" x14ac:dyDescent="0.25">
      <c r="A165" s="151">
        <v>53</v>
      </c>
      <c r="B165" s="148"/>
      <c r="C165" s="91" t="s">
        <v>11</v>
      </c>
      <c r="D165" s="146"/>
      <c r="E165" s="146"/>
      <c r="F165" s="140"/>
      <c r="G165" s="144"/>
      <c r="H165" s="142"/>
      <c r="I165" s="142"/>
      <c r="J165" s="140"/>
      <c r="K165" s="140"/>
      <c r="L165" s="140"/>
      <c r="M165" s="140"/>
      <c r="N165" s="144"/>
      <c r="O165" s="142"/>
      <c r="P165" s="142"/>
      <c r="Q165" s="140"/>
      <c r="R165" s="140"/>
      <c r="S165" s="140"/>
      <c r="T165" s="158"/>
      <c r="U165" s="144"/>
      <c r="V165" s="142"/>
      <c r="W165" s="142"/>
      <c r="X165" s="140"/>
      <c r="Y165" s="140"/>
      <c r="Z165" s="144"/>
      <c r="AA165" s="144"/>
      <c r="AB165" s="140"/>
      <c r="AC165" s="142"/>
      <c r="AD165" s="142"/>
      <c r="AE165" s="142"/>
      <c r="AF165" s="142"/>
      <c r="AG165" s="140"/>
      <c r="AH165" s="156"/>
      <c r="AI165" s="154">
        <f t="shared" ref="AI165" si="168">SUM(D165:AH165)</f>
        <v>0</v>
      </c>
      <c r="AJ165" s="86">
        <f>SUMIF(D167:AH167, "LL", D165:AH165) + SUMIF(D167:AH167, "LL", D166:AH166)</f>
        <v>0</v>
      </c>
      <c r="AK165" s="7"/>
      <c r="AL165" s="7"/>
      <c r="AM165" s="99">
        <f t="shared" ref="AM165" si="169">SUMIF(D167:AH167, "CO", D165:AH165) + SUMIF(D167:AH167, "CO", D166:AH166)</f>
        <v>0</v>
      </c>
      <c r="AN165" s="59">
        <f t="shared" ref="AN165" si="170">SUM(AI165:AM165)</f>
        <v>0</v>
      </c>
      <c r="AO165" s="5"/>
      <c r="AP165" s="73"/>
      <c r="AQ165" s="135"/>
      <c r="AR165" s="5"/>
      <c r="AS165" s="120"/>
      <c r="AT165" s="120"/>
      <c r="AU165" s="120"/>
      <c r="AV165" s="120"/>
      <c r="AW165" s="120"/>
      <c r="AX165" s="120"/>
      <c r="AY165" s="120"/>
      <c r="AZ165" s="120"/>
      <c r="BA165" s="120"/>
      <c r="BB165" s="120"/>
      <c r="BC165" s="120"/>
      <c r="BD165" s="120"/>
      <c r="BE165" s="120"/>
      <c r="BF165" s="120"/>
      <c r="BG165" s="120"/>
      <c r="BH165" s="120"/>
      <c r="BI165" s="120"/>
      <c r="BJ165" s="120"/>
      <c r="BK165" s="120"/>
      <c r="BL165" s="120"/>
      <c r="BM165" s="120"/>
      <c r="BN165" s="120"/>
      <c r="BO165"/>
      <c r="BP165"/>
      <c r="BQ165"/>
      <c r="BR165"/>
      <c r="BS165"/>
    </row>
    <row r="166" spans="1:71" s="2" customFormat="1" ht="21" x14ac:dyDescent="0.25">
      <c r="A166" s="152"/>
      <c r="B166" s="149"/>
      <c r="C166" s="3" t="s">
        <v>12</v>
      </c>
      <c r="D166" s="147"/>
      <c r="E166" s="147"/>
      <c r="F166" s="141"/>
      <c r="G166" s="145"/>
      <c r="H166" s="143"/>
      <c r="I166" s="143"/>
      <c r="J166" s="141"/>
      <c r="K166" s="141"/>
      <c r="L166" s="141"/>
      <c r="M166" s="141"/>
      <c r="N166" s="145"/>
      <c r="O166" s="143"/>
      <c r="P166" s="143"/>
      <c r="Q166" s="141"/>
      <c r="R166" s="141"/>
      <c r="S166" s="141"/>
      <c r="T166" s="159"/>
      <c r="U166" s="145"/>
      <c r="V166" s="143"/>
      <c r="W166" s="143"/>
      <c r="X166" s="141"/>
      <c r="Y166" s="141"/>
      <c r="Z166" s="145"/>
      <c r="AA166" s="145"/>
      <c r="AB166" s="141"/>
      <c r="AC166" s="143"/>
      <c r="AD166" s="143"/>
      <c r="AE166" s="143"/>
      <c r="AF166" s="143"/>
      <c r="AG166" s="141"/>
      <c r="AH166" s="157"/>
      <c r="AI166" s="155"/>
      <c r="AJ166" s="11"/>
      <c r="AK166" s="7"/>
      <c r="AL166" s="7"/>
      <c r="AM166" s="11"/>
      <c r="AN166" s="59"/>
      <c r="AO166" s="5"/>
      <c r="AP166" s="78"/>
      <c r="AQ166" s="135"/>
      <c r="AR166" s="5"/>
      <c r="AS166" s="120"/>
      <c r="AT166" s="120"/>
      <c r="AU166" s="120"/>
      <c r="AV166" s="120"/>
      <c r="AW166" s="120"/>
      <c r="AX166" s="120"/>
      <c r="AY166" s="120"/>
      <c r="AZ166" s="120"/>
      <c r="BA166" s="120"/>
      <c r="BB166" s="120"/>
      <c r="BC166" s="120"/>
      <c r="BD166" s="120"/>
      <c r="BE166" s="120"/>
      <c r="BF166" s="120"/>
      <c r="BG166" s="120"/>
      <c r="BH166" s="120"/>
      <c r="BI166" s="120"/>
      <c r="BJ166" s="120"/>
      <c r="BK166" s="120"/>
      <c r="BL166" s="120"/>
      <c r="BM166" s="120"/>
      <c r="BN166" s="120"/>
      <c r="BO166"/>
      <c r="BP166"/>
      <c r="BQ166"/>
      <c r="BR166"/>
      <c r="BS166"/>
    </row>
    <row r="167" spans="1:71" s="2" customFormat="1" ht="22" thickBot="1" x14ac:dyDescent="0.3">
      <c r="A167" s="153"/>
      <c r="B167" s="150"/>
      <c r="C167" s="92" t="s">
        <v>4</v>
      </c>
      <c r="D167" s="88"/>
      <c r="E167" s="88"/>
      <c r="F167" s="88"/>
      <c r="G167" s="89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90"/>
      <c r="AI167" s="36"/>
      <c r="AJ167" s="34"/>
      <c r="AK167" s="7"/>
      <c r="AL167" s="7"/>
      <c r="AM167" s="34"/>
      <c r="AN167" s="59"/>
      <c r="AO167" s="5"/>
      <c r="AP167" s="78"/>
      <c r="AQ167" s="135"/>
      <c r="AR167" s="5"/>
      <c r="AS167" s="120"/>
      <c r="AT167" s="120"/>
      <c r="AU167" s="120"/>
      <c r="AV167" s="120"/>
      <c r="AW167" s="120"/>
      <c r="AX167" s="120"/>
      <c r="AY167" s="120"/>
      <c r="AZ167" s="120"/>
      <c r="BA167" s="120"/>
      <c r="BB167" s="120"/>
      <c r="BC167" s="120"/>
      <c r="BD167" s="120"/>
      <c r="BE167" s="120"/>
      <c r="BF167" s="120"/>
      <c r="BG167" s="120"/>
      <c r="BH167" s="120"/>
      <c r="BI167" s="120"/>
      <c r="BJ167" s="120"/>
      <c r="BK167" s="120"/>
      <c r="BL167" s="120"/>
      <c r="BM167" s="120"/>
      <c r="BN167" s="120"/>
      <c r="BO167"/>
      <c r="BP167"/>
      <c r="BQ167"/>
      <c r="BR167"/>
      <c r="BS167"/>
    </row>
    <row r="168" spans="1:71" s="2" customFormat="1" ht="20" thickTop="1" x14ac:dyDescent="0.25">
      <c r="A168" s="151">
        <v>54</v>
      </c>
      <c r="B168" s="148"/>
      <c r="C168" s="91" t="s">
        <v>11</v>
      </c>
      <c r="D168" s="146"/>
      <c r="E168" s="146"/>
      <c r="F168" s="140"/>
      <c r="G168" s="144"/>
      <c r="H168" s="142"/>
      <c r="I168" s="142"/>
      <c r="J168" s="140"/>
      <c r="K168" s="140"/>
      <c r="L168" s="140"/>
      <c r="M168" s="140"/>
      <c r="N168" s="144"/>
      <c r="O168" s="142"/>
      <c r="P168" s="142"/>
      <c r="Q168" s="140"/>
      <c r="R168" s="140"/>
      <c r="S168" s="140"/>
      <c r="T168" s="158"/>
      <c r="U168" s="144"/>
      <c r="V168" s="142"/>
      <c r="W168" s="142"/>
      <c r="X168" s="140"/>
      <c r="Y168" s="140"/>
      <c r="Z168" s="144"/>
      <c r="AA168" s="144"/>
      <c r="AB168" s="140"/>
      <c r="AC168" s="142"/>
      <c r="AD168" s="142"/>
      <c r="AE168" s="142"/>
      <c r="AF168" s="142"/>
      <c r="AG168" s="140"/>
      <c r="AH168" s="156"/>
      <c r="AI168" s="154">
        <f t="shared" ref="AI168" si="171">SUM(D168:AH168)</f>
        <v>0</v>
      </c>
      <c r="AJ168" s="87">
        <f>SUMIF(D170:AH170, "LL", D168:AH168) + SUMIF(D170:AH170, "LL", D169:AH169)</f>
        <v>0</v>
      </c>
      <c r="AK168" s="7"/>
      <c r="AL168" s="7"/>
      <c r="AM168" s="100">
        <f t="shared" ref="AM168" si="172">SUMIF(D170:AH170, "CO", D168:AH168) + SUMIF(D170:AH170, "CO", D169:AH169)</f>
        <v>0</v>
      </c>
      <c r="AN168" s="59">
        <f t="shared" ref="AN168" si="173">SUM(AI168:AM168)</f>
        <v>0</v>
      </c>
      <c r="AO168" s="5"/>
      <c r="AP168" s="73"/>
      <c r="AQ168" s="135"/>
      <c r="AR168" s="5"/>
      <c r="AS168" s="120"/>
      <c r="AT168" s="120"/>
      <c r="AU168" s="120"/>
      <c r="AV168" s="120"/>
      <c r="AW168" s="120"/>
      <c r="AX168" s="120"/>
      <c r="AY168" s="120"/>
      <c r="AZ168" s="120"/>
      <c r="BA168" s="120"/>
      <c r="BB168" s="120"/>
      <c r="BC168" s="120"/>
      <c r="BD168" s="120"/>
      <c r="BE168" s="120"/>
      <c r="BF168" s="120"/>
      <c r="BG168" s="120"/>
      <c r="BH168" s="120"/>
      <c r="BI168" s="120"/>
      <c r="BJ168" s="120"/>
      <c r="BK168" s="120"/>
      <c r="BL168" s="120"/>
      <c r="BM168" s="120"/>
      <c r="BN168" s="120"/>
      <c r="BO168"/>
      <c r="BP168"/>
      <c r="BQ168"/>
      <c r="BR168"/>
      <c r="BS168"/>
    </row>
    <row r="169" spans="1:71" s="2" customFormat="1" ht="21" x14ac:dyDescent="0.25">
      <c r="A169" s="152"/>
      <c r="B169" s="149"/>
      <c r="C169" s="3" t="s">
        <v>12</v>
      </c>
      <c r="D169" s="147"/>
      <c r="E169" s="147"/>
      <c r="F169" s="141"/>
      <c r="G169" s="145"/>
      <c r="H169" s="143"/>
      <c r="I169" s="143"/>
      <c r="J169" s="141"/>
      <c r="K169" s="141"/>
      <c r="L169" s="141"/>
      <c r="M169" s="141"/>
      <c r="N169" s="145"/>
      <c r="O169" s="143"/>
      <c r="P169" s="143"/>
      <c r="Q169" s="141"/>
      <c r="R169" s="141"/>
      <c r="S169" s="141"/>
      <c r="T169" s="159"/>
      <c r="U169" s="145"/>
      <c r="V169" s="143"/>
      <c r="W169" s="143"/>
      <c r="X169" s="141"/>
      <c r="Y169" s="141"/>
      <c r="Z169" s="145"/>
      <c r="AA169" s="145"/>
      <c r="AB169" s="141"/>
      <c r="AC169" s="143"/>
      <c r="AD169" s="143"/>
      <c r="AE169" s="143"/>
      <c r="AF169" s="143"/>
      <c r="AG169" s="141"/>
      <c r="AH169" s="157"/>
      <c r="AI169" s="155"/>
      <c r="AJ169" s="11"/>
      <c r="AK169" s="7"/>
      <c r="AL169" s="7"/>
      <c r="AM169" s="11"/>
      <c r="AN169" s="59"/>
      <c r="AO169" s="5"/>
      <c r="AP169" s="78"/>
      <c r="AQ169" s="135"/>
      <c r="AR169" s="5"/>
      <c r="AS169" s="120"/>
      <c r="AT169" s="120"/>
      <c r="AU169" s="120"/>
      <c r="AV169" s="120"/>
      <c r="AW169" s="120"/>
      <c r="AX169" s="120"/>
      <c r="AY169" s="120"/>
      <c r="AZ169" s="120"/>
      <c r="BA169" s="120"/>
      <c r="BB169" s="120"/>
      <c r="BC169" s="120"/>
      <c r="BD169" s="120"/>
      <c r="BE169" s="120"/>
      <c r="BF169" s="120"/>
      <c r="BG169" s="120"/>
      <c r="BH169" s="120"/>
      <c r="BI169" s="120"/>
      <c r="BJ169" s="120"/>
      <c r="BK169" s="120"/>
      <c r="BL169" s="120"/>
      <c r="BM169" s="120"/>
      <c r="BN169" s="120"/>
      <c r="BO169"/>
      <c r="BP169"/>
      <c r="BQ169"/>
      <c r="BR169"/>
      <c r="BS169"/>
    </row>
    <row r="170" spans="1:71" s="2" customFormat="1" ht="22" thickBot="1" x14ac:dyDescent="0.3">
      <c r="A170" s="153"/>
      <c r="B170" s="150"/>
      <c r="C170" s="92" t="s">
        <v>4</v>
      </c>
      <c r="D170" s="88"/>
      <c r="E170" s="88"/>
      <c r="F170" s="88"/>
      <c r="G170" s="89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90"/>
      <c r="AI170" s="36"/>
      <c r="AJ170" s="34"/>
      <c r="AK170" s="7"/>
      <c r="AL170" s="7"/>
      <c r="AM170" s="34"/>
      <c r="AN170" s="59"/>
      <c r="AO170" s="5"/>
      <c r="AP170" s="78"/>
      <c r="AQ170" s="135"/>
      <c r="AR170" s="5"/>
      <c r="AS170" s="120"/>
      <c r="AT170" s="120"/>
      <c r="AU170" s="120"/>
      <c r="AV170" s="120"/>
      <c r="AW170" s="120"/>
      <c r="AX170" s="120"/>
      <c r="AY170" s="120"/>
      <c r="AZ170" s="120"/>
      <c r="BA170" s="120"/>
      <c r="BB170" s="120"/>
      <c r="BC170" s="120"/>
      <c r="BD170" s="120"/>
      <c r="BE170" s="120"/>
      <c r="BF170" s="120"/>
      <c r="BG170" s="120"/>
      <c r="BH170" s="120"/>
      <c r="BI170" s="120"/>
      <c r="BJ170" s="120"/>
      <c r="BK170" s="120"/>
      <c r="BL170" s="120"/>
      <c r="BM170" s="120"/>
      <c r="BN170" s="120"/>
      <c r="BO170"/>
      <c r="BP170"/>
      <c r="BQ170"/>
      <c r="BR170"/>
      <c r="BS170"/>
    </row>
    <row r="171" spans="1:71" s="2" customFormat="1" ht="21" thickTop="1" thickBot="1" x14ac:dyDescent="0.3">
      <c r="A171" s="151">
        <v>55</v>
      </c>
      <c r="B171" s="148"/>
      <c r="C171" s="91" t="s">
        <v>11</v>
      </c>
      <c r="D171" s="166"/>
      <c r="E171" s="166"/>
      <c r="F171" s="160"/>
      <c r="G171" s="164"/>
      <c r="H171" s="162"/>
      <c r="I171" s="162"/>
      <c r="J171" s="160"/>
      <c r="K171" s="160"/>
      <c r="L171" s="160"/>
      <c r="M171" s="160"/>
      <c r="N171" s="164"/>
      <c r="O171" s="162"/>
      <c r="P171" s="162"/>
      <c r="Q171" s="160"/>
      <c r="R171" s="160"/>
      <c r="S171" s="160"/>
      <c r="T171" s="172"/>
      <c r="U171" s="164"/>
      <c r="V171" s="162"/>
      <c r="W171" s="162"/>
      <c r="X171" s="160"/>
      <c r="Y171" s="160"/>
      <c r="Z171" s="164"/>
      <c r="AA171" s="164"/>
      <c r="AB171" s="160"/>
      <c r="AC171" s="162"/>
      <c r="AD171" s="162"/>
      <c r="AE171" s="162"/>
      <c r="AF171" s="162"/>
      <c r="AG171" s="160"/>
      <c r="AH171" s="170"/>
      <c r="AI171" s="168">
        <f t="shared" ref="AI171" si="174">SUM(D171:AH171)</f>
        <v>0</v>
      </c>
      <c r="AJ171" s="86">
        <f>SUMIF(D173:AH173, "LL", D171:AH171) + SUMIF(D173:AH173, "LL", D172:AH172)</f>
        <v>0</v>
      </c>
      <c r="AK171" s="31"/>
      <c r="AL171" s="31"/>
      <c r="AM171" s="99">
        <f t="shared" ref="AM171" si="175">SUMIF(D173:AH173, "CO", D171:AH171) + SUMIF(D173:AH173, "CO", D172:AH172)</f>
        <v>0</v>
      </c>
      <c r="AN171" s="51">
        <f>SUM(AI171:AM171)</f>
        <v>0</v>
      </c>
      <c r="AO171" s="106"/>
      <c r="AP171" s="68"/>
      <c r="AQ171" s="133"/>
      <c r="AR171" s="40"/>
      <c r="AS171" s="121"/>
      <c r="AT171" s="121"/>
      <c r="AU171" s="121"/>
      <c r="AV171" s="121"/>
      <c r="AW171" s="121"/>
      <c r="AX171" s="121"/>
      <c r="AY171" s="121"/>
      <c r="AZ171" s="121"/>
      <c r="BA171" s="121"/>
      <c r="BB171" s="121"/>
      <c r="BC171" s="121"/>
      <c r="BD171" s="121"/>
      <c r="BE171" s="121"/>
      <c r="BF171" s="121"/>
      <c r="BG171" s="121"/>
      <c r="BH171" s="121"/>
      <c r="BI171" s="121"/>
      <c r="BJ171" s="121"/>
      <c r="BK171" s="121"/>
      <c r="BL171" s="121"/>
      <c r="BM171" s="121"/>
      <c r="BN171" s="121"/>
    </row>
    <row r="172" spans="1:71" s="2" customFormat="1" ht="20" thickBot="1" x14ac:dyDescent="0.3">
      <c r="A172" s="152"/>
      <c r="B172" s="149"/>
      <c r="C172" s="3" t="s">
        <v>12</v>
      </c>
      <c r="D172" s="167"/>
      <c r="E172" s="167"/>
      <c r="F172" s="161"/>
      <c r="G172" s="165"/>
      <c r="H172" s="163"/>
      <c r="I172" s="163"/>
      <c r="J172" s="161"/>
      <c r="K172" s="161"/>
      <c r="L172" s="161"/>
      <c r="M172" s="161"/>
      <c r="N172" s="165"/>
      <c r="O172" s="163"/>
      <c r="P172" s="163"/>
      <c r="Q172" s="161"/>
      <c r="R172" s="161"/>
      <c r="S172" s="161"/>
      <c r="T172" s="173"/>
      <c r="U172" s="165"/>
      <c r="V172" s="163"/>
      <c r="W172" s="163"/>
      <c r="X172" s="161"/>
      <c r="Y172" s="161"/>
      <c r="Z172" s="165"/>
      <c r="AA172" s="165"/>
      <c r="AB172" s="161"/>
      <c r="AC172" s="163"/>
      <c r="AD172" s="163"/>
      <c r="AE172" s="163"/>
      <c r="AF172" s="163"/>
      <c r="AG172" s="161"/>
      <c r="AH172" s="171"/>
      <c r="AI172" s="169"/>
      <c r="AJ172" s="11"/>
      <c r="AK172" s="11"/>
      <c r="AL172" s="11"/>
      <c r="AM172" s="11"/>
      <c r="AN172" s="52"/>
      <c r="AO172" s="24"/>
      <c r="AP172" s="69"/>
      <c r="AQ172" s="133"/>
      <c r="AR172" s="40"/>
      <c r="AS172" s="121"/>
      <c r="AT172" s="121"/>
      <c r="AU172" s="121"/>
      <c r="AV172" s="121"/>
      <c r="AW172" s="121"/>
      <c r="AX172" s="121"/>
      <c r="AY172" s="121"/>
      <c r="AZ172" s="121"/>
      <c r="BA172" s="121"/>
      <c r="BB172" s="121"/>
      <c r="BC172" s="121"/>
      <c r="BD172" s="121"/>
      <c r="BE172" s="121"/>
      <c r="BF172" s="121"/>
      <c r="BG172" s="121"/>
      <c r="BH172" s="121"/>
      <c r="BI172" s="121"/>
      <c r="BJ172" s="121"/>
      <c r="BK172" s="121"/>
      <c r="BL172" s="121"/>
      <c r="BM172" s="121"/>
      <c r="BN172" s="121"/>
    </row>
    <row r="173" spans="1:71" s="2" customFormat="1" ht="20" thickBot="1" x14ac:dyDescent="0.3">
      <c r="A173" s="153"/>
      <c r="B173" s="150"/>
      <c r="C173" s="92" t="s">
        <v>4</v>
      </c>
      <c r="D173" s="88"/>
      <c r="E173" s="88"/>
      <c r="F173" s="88"/>
      <c r="G173" s="89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90"/>
      <c r="AI173" s="36"/>
      <c r="AJ173" s="34"/>
      <c r="AK173" s="34"/>
      <c r="AL173" s="34"/>
      <c r="AM173" s="34"/>
      <c r="AN173" s="53"/>
      <c r="AO173" s="25"/>
      <c r="AP173" s="70"/>
      <c r="AQ173" s="133"/>
      <c r="AR173" s="40"/>
      <c r="AS173" s="121"/>
      <c r="AT173" s="121"/>
      <c r="AU173" s="121"/>
      <c r="AV173" s="121"/>
      <c r="AW173" s="121"/>
      <c r="AX173" s="121"/>
      <c r="AY173" s="121"/>
      <c r="AZ173" s="121"/>
      <c r="BA173" s="121"/>
      <c r="BB173" s="121"/>
      <c r="BC173" s="121"/>
      <c r="BD173" s="121"/>
      <c r="BE173" s="121"/>
      <c r="BF173" s="121"/>
      <c r="BG173" s="121"/>
      <c r="BH173" s="121"/>
      <c r="BI173" s="121"/>
      <c r="BJ173" s="121"/>
      <c r="BK173" s="121"/>
      <c r="BL173" s="121"/>
      <c r="BM173" s="121"/>
      <c r="BN173" s="121"/>
    </row>
    <row r="174" spans="1:71" s="2" customFormat="1" ht="21" thickTop="1" thickBot="1" x14ac:dyDescent="0.3">
      <c r="A174" s="151">
        <v>56</v>
      </c>
      <c r="B174" s="148"/>
      <c r="C174" s="91" t="s">
        <v>11</v>
      </c>
      <c r="D174" s="166"/>
      <c r="E174" s="166"/>
      <c r="F174" s="160"/>
      <c r="G174" s="164"/>
      <c r="H174" s="162"/>
      <c r="I174" s="162"/>
      <c r="J174" s="160"/>
      <c r="K174" s="160"/>
      <c r="L174" s="160"/>
      <c r="M174" s="160"/>
      <c r="N174" s="164"/>
      <c r="O174" s="162"/>
      <c r="P174" s="162"/>
      <c r="Q174" s="160"/>
      <c r="R174" s="160"/>
      <c r="S174" s="160"/>
      <c r="T174" s="172"/>
      <c r="U174" s="164"/>
      <c r="V174" s="162"/>
      <c r="W174" s="162"/>
      <c r="X174" s="160"/>
      <c r="Y174" s="160"/>
      <c r="Z174" s="164"/>
      <c r="AA174" s="164"/>
      <c r="AB174" s="160"/>
      <c r="AC174" s="162"/>
      <c r="AD174" s="162"/>
      <c r="AE174" s="162"/>
      <c r="AF174" s="162"/>
      <c r="AG174" s="160"/>
      <c r="AH174" s="170"/>
      <c r="AI174" s="174">
        <f t="shared" ref="AI174" si="176">SUM(D174:AH174)</f>
        <v>0</v>
      </c>
      <c r="AJ174" s="87">
        <f>SUMIF(D176:AH176, "LL", D174:AH174) + SUMIF(D176:AH176, "LL", D175:AH175)</f>
        <v>0</v>
      </c>
      <c r="AK174" s="39"/>
      <c r="AL174" s="39"/>
      <c r="AM174" s="100">
        <f t="shared" ref="AM174" si="177">SUMIF(D176:AH176, "CO", D174:AH174) + SUMIF(D176:AH176, "CO", D175:AH175)</f>
        <v>0</v>
      </c>
      <c r="AN174" s="54">
        <f>SUM(AI174:AM174)</f>
        <v>0</v>
      </c>
      <c r="AO174" s="107"/>
      <c r="AP174" s="71"/>
      <c r="AQ174" s="133"/>
      <c r="AR174" s="40"/>
      <c r="AS174" s="121"/>
      <c r="AT174" s="121"/>
      <c r="AU174" s="121"/>
      <c r="AV174" s="121"/>
      <c r="AW174" s="121"/>
      <c r="AX174" s="121"/>
      <c r="AY174" s="121"/>
      <c r="AZ174" s="121"/>
      <c r="BA174" s="121"/>
      <c r="BB174" s="121"/>
      <c r="BC174" s="121"/>
      <c r="BD174" s="121"/>
      <c r="BE174" s="121"/>
      <c r="BF174" s="121"/>
      <c r="BG174" s="121"/>
      <c r="BH174" s="121"/>
      <c r="BI174" s="121"/>
      <c r="BJ174" s="121"/>
      <c r="BK174" s="121"/>
      <c r="BL174" s="121"/>
      <c r="BM174" s="121"/>
      <c r="BN174" s="121"/>
    </row>
    <row r="175" spans="1:71" s="2" customFormat="1" ht="20" thickBot="1" x14ac:dyDescent="0.3">
      <c r="A175" s="152"/>
      <c r="B175" s="149"/>
      <c r="C175" s="3" t="s">
        <v>12</v>
      </c>
      <c r="D175" s="167"/>
      <c r="E175" s="167"/>
      <c r="F175" s="161"/>
      <c r="G175" s="165"/>
      <c r="H175" s="163"/>
      <c r="I175" s="163"/>
      <c r="J175" s="161"/>
      <c r="K175" s="161"/>
      <c r="L175" s="161"/>
      <c r="M175" s="161"/>
      <c r="N175" s="165"/>
      <c r="O175" s="163"/>
      <c r="P175" s="163"/>
      <c r="Q175" s="161"/>
      <c r="R175" s="161"/>
      <c r="S175" s="161"/>
      <c r="T175" s="173"/>
      <c r="U175" s="165"/>
      <c r="V175" s="163"/>
      <c r="W175" s="163"/>
      <c r="X175" s="161"/>
      <c r="Y175" s="161"/>
      <c r="Z175" s="165"/>
      <c r="AA175" s="165"/>
      <c r="AB175" s="161"/>
      <c r="AC175" s="163"/>
      <c r="AD175" s="163"/>
      <c r="AE175" s="163"/>
      <c r="AF175" s="163"/>
      <c r="AG175" s="161"/>
      <c r="AH175" s="171"/>
      <c r="AI175" s="169"/>
      <c r="AJ175" s="11"/>
      <c r="AK175" s="11"/>
      <c r="AL175" s="11"/>
      <c r="AM175" s="11"/>
      <c r="AN175" s="52"/>
      <c r="AO175" s="24"/>
      <c r="AP175" s="69"/>
      <c r="AQ175" s="133"/>
      <c r="AR175" s="43"/>
      <c r="AS175" s="121"/>
      <c r="AT175" s="121"/>
      <c r="AU175" s="121"/>
      <c r="AV175" s="121"/>
      <c r="AW175" s="121"/>
      <c r="AX175" s="121"/>
      <c r="AY175" s="121"/>
      <c r="AZ175" s="121"/>
      <c r="BA175" s="121"/>
      <c r="BB175" s="121"/>
      <c r="BC175" s="121"/>
      <c r="BD175" s="121"/>
      <c r="BE175" s="121"/>
      <c r="BF175" s="121"/>
      <c r="BG175" s="121"/>
      <c r="BH175" s="121"/>
      <c r="BI175" s="121"/>
      <c r="BJ175" s="121"/>
      <c r="BK175" s="121"/>
      <c r="BL175" s="121"/>
      <c r="BM175" s="121"/>
      <c r="BN175" s="121"/>
    </row>
    <row r="176" spans="1:71" s="2" customFormat="1" ht="20" thickBot="1" x14ac:dyDescent="0.3">
      <c r="A176" s="153"/>
      <c r="B176" s="150"/>
      <c r="C176" s="92" t="s">
        <v>4</v>
      </c>
      <c r="D176" s="88"/>
      <c r="E176" s="88"/>
      <c r="F176" s="88"/>
      <c r="G176" s="89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90"/>
      <c r="AI176" s="36"/>
      <c r="AJ176" s="34"/>
      <c r="AK176" s="34"/>
      <c r="AL176" s="34"/>
      <c r="AM176" s="34"/>
      <c r="AN176" s="53"/>
      <c r="AO176" s="25"/>
      <c r="AP176" s="70"/>
      <c r="AQ176" s="133"/>
      <c r="AR176" s="43"/>
      <c r="AS176" s="121"/>
      <c r="AT176" s="121"/>
      <c r="AU176" s="121"/>
      <c r="AV176" s="121"/>
      <c r="AW176" s="121"/>
      <c r="AX176" s="121"/>
      <c r="AY176" s="121"/>
      <c r="AZ176" s="121"/>
      <c r="BA176" s="121"/>
      <c r="BB176" s="121"/>
      <c r="BC176" s="121"/>
      <c r="BD176" s="121"/>
      <c r="BE176" s="121"/>
      <c r="BF176" s="121"/>
      <c r="BG176" s="121"/>
      <c r="BH176" s="121"/>
      <c r="BI176" s="121"/>
      <c r="BJ176" s="121"/>
      <c r="BK176" s="121"/>
      <c r="BL176" s="121"/>
      <c r="BM176" s="121"/>
      <c r="BN176" s="121"/>
    </row>
    <row r="177" spans="1:66" s="2" customFormat="1" ht="21" thickTop="1" thickBot="1" x14ac:dyDescent="0.3">
      <c r="A177" s="151">
        <v>57</v>
      </c>
      <c r="B177" s="148"/>
      <c r="C177" s="91" t="s">
        <v>11</v>
      </c>
      <c r="D177" s="166"/>
      <c r="E177" s="166"/>
      <c r="F177" s="160"/>
      <c r="G177" s="164"/>
      <c r="H177" s="162"/>
      <c r="I177" s="162"/>
      <c r="J177" s="160"/>
      <c r="K177" s="160"/>
      <c r="L177" s="160"/>
      <c r="M177" s="160"/>
      <c r="N177" s="164"/>
      <c r="O177" s="162"/>
      <c r="P177" s="162"/>
      <c r="Q177" s="160"/>
      <c r="R177" s="160"/>
      <c r="S177" s="160"/>
      <c r="T177" s="172"/>
      <c r="U177" s="164"/>
      <c r="V177" s="162"/>
      <c r="W177" s="162"/>
      <c r="X177" s="160"/>
      <c r="Y177" s="160"/>
      <c r="Z177" s="164"/>
      <c r="AA177" s="164"/>
      <c r="AB177" s="160"/>
      <c r="AC177" s="162"/>
      <c r="AD177" s="162"/>
      <c r="AE177" s="162"/>
      <c r="AF177" s="162"/>
      <c r="AG177" s="160"/>
      <c r="AH177" s="170"/>
      <c r="AI177" s="168">
        <f t="shared" ref="AI177" si="178">SUM(D177:AH177)</f>
        <v>0</v>
      </c>
      <c r="AJ177" s="86">
        <f>SUMIF(D179:AH179, "LL", D177:AH177) + SUMIF(D179:AH179, "LL", D178:AH178)</f>
        <v>0</v>
      </c>
      <c r="AK177" s="32"/>
      <c r="AL177" s="8"/>
      <c r="AM177" s="99">
        <f t="shared" ref="AM177" si="179">SUMIF(D179:AH179, "CO", D177:AH177) + SUMIF(D179:AH179, "CO", D178:AH178)</f>
        <v>0</v>
      </c>
      <c r="AN177" s="55">
        <f>SUM(AI177:AM177)</f>
        <v>0</v>
      </c>
      <c r="AO177" s="8"/>
      <c r="AP177" s="72"/>
      <c r="AQ177" s="133"/>
      <c r="AR177" s="44"/>
      <c r="AS177" s="121"/>
      <c r="AT177" s="121"/>
      <c r="AU177" s="121"/>
      <c r="AV177" s="121"/>
      <c r="AW177" s="121"/>
      <c r="AX177" s="121"/>
      <c r="AY177" s="121"/>
      <c r="AZ177" s="121"/>
      <c r="BA177" s="121"/>
      <c r="BB177" s="121"/>
      <c r="BC177" s="121"/>
      <c r="BD177" s="121"/>
      <c r="BE177" s="121"/>
      <c r="BF177" s="121"/>
      <c r="BG177" s="121"/>
      <c r="BH177" s="121"/>
      <c r="BI177" s="121"/>
      <c r="BJ177" s="121"/>
      <c r="BK177" s="121"/>
      <c r="BL177" s="121"/>
      <c r="BM177" s="121"/>
      <c r="BN177" s="121"/>
    </row>
    <row r="178" spans="1:66" s="2" customFormat="1" ht="20" thickBot="1" x14ac:dyDescent="0.3">
      <c r="A178" s="152"/>
      <c r="B178" s="149"/>
      <c r="C178" s="3" t="s">
        <v>12</v>
      </c>
      <c r="D178" s="167"/>
      <c r="E178" s="167"/>
      <c r="F178" s="161"/>
      <c r="G178" s="165"/>
      <c r="H178" s="163"/>
      <c r="I178" s="163"/>
      <c r="J178" s="161"/>
      <c r="K178" s="161"/>
      <c r="L178" s="161"/>
      <c r="M178" s="161"/>
      <c r="N178" s="165"/>
      <c r="O178" s="163"/>
      <c r="P178" s="163"/>
      <c r="Q178" s="161"/>
      <c r="R178" s="161"/>
      <c r="S178" s="161"/>
      <c r="T178" s="173"/>
      <c r="U178" s="165"/>
      <c r="V178" s="163"/>
      <c r="W178" s="163"/>
      <c r="X178" s="161"/>
      <c r="Y178" s="161"/>
      <c r="Z178" s="165"/>
      <c r="AA178" s="165"/>
      <c r="AB178" s="161"/>
      <c r="AC178" s="163"/>
      <c r="AD178" s="163"/>
      <c r="AE178" s="163"/>
      <c r="AF178" s="163"/>
      <c r="AG178" s="161"/>
      <c r="AH178" s="171"/>
      <c r="AI178" s="169"/>
      <c r="AJ178" s="11"/>
      <c r="AK178" s="21"/>
      <c r="AL178" s="7"/>
      <c r="AM178" s="11"/>
      <c r="AN178" s="56"/>
      <c r="AO178" s="5"/>
      <c r="AP178" s="73"/>
      <c r="AQ178" s="133"/>
      <c r="AR178" s="5"/>
      <c r="AS178" s="121"/>
      <c r="AT178" s="121"/>
      <c r="AU178" s="121"/>
      <c r="AV178" s="121"/>
      <c r="AW178" s="121"/>
      <c r="AX178" s="121"/>
      <c r="AY178" s="121"/>
      <c r="AZ178" s="121"/>
      <c r="BA178" s="121"/>
      <c r="BB178" s="121"/>
      <c r="BC178" s="121"/>
      <c r="BD178" s="121"/>
      <c r="BE178" s="121"/>
      <c r="BF178" s="121"/>
      <c r="BG178" s="121"/>
      <c r="BH178" s="121"/>
      <c r="BI178" s="121"/>
      <c r="BJ178" s="121"/>
      <c r="BK178" s="121"/>
      <c r="BL178" s="121"/>
      <c r="BM178" s="121"/>
      <c r="BN178" s="121"/>
    </row>
    <row r="179" spans="1:66" s="2" customFormat="1" ht="20" thickBot="1" x14ac:dyDescent="0.3">
      <c r="A179" s="153"/>
      <c r="B179" s="150"/>
      <c r="C179" s="92" t="s">
        <v>4</v>
      </c>
      <c r="D179" s="88"/>
      <c r="E179" s="88"/>
      <c r="F179" s="88"/>
      <c r="G179" s="89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88"/>
      <c r="AC179" s="88"/>
      <c r="AD179" s="88"/>
      <c r="AE179" s="88"/>
      <c r="AF179" s="88"/>
      <c r="AG179" s="88"/>
      <c r="AH179" s="90"/>
      <c r="AI179" s="36"/>
      <c r="AJ179" s="34"/>
      <c r="AK179" s="33"/>
      <c r="AL179" s="28"/>
      <c r="AM179" s="34"/>
      <c r="AN179" s="57"/>
      <c r="AO179" s="30"/>
      <c r="AP179" s="74"/>
      <c r="AQ179" s="133"/>
      <c r="AR179" s="5"/>
      <c r="AS179" s="121"/>
      <c r="AT179" s="121"/>
      <c r="AU179" s="121"/>
      <c r="AV179" s="121"/>
      <c r="AW179" s="121"/>
      <c r="AX179" s="121"/>
      <c r="AY179" s="121"/>
      <c r="AZ179" s="121"/>
      <c r="BA179" s="121"/>
      <c r="BB179" s="121"/>
      <c r="BC179" s="121"/>
      <c r="BD179" s="121"/>
      <c r="BE179" s="121"/>
      <c r="BF179" s="121"/>
      <c r="BG179" s="121"/>
      <c r="BH179" s="121"/>
      <c r="BI179" s="121"/>
      <c r="BJ179" s="121"/>
      <c r="BK179" s="121"/>
      <c r="BL179" s="121"/>
      <c r="BM179" s="121"/>
      <c r="BN179" s="121"/>
    </row>
    <row r="180" spans="1:66" s="2" customFormat="1" ht="21" thickTop="1" thickBot="1" x14ac:dyDescent="0.3">
      <c r="A180" s="151">
        <v>58</v>
      </c>
      <c r="B180" s="181"/>
      <c r="C180" s="93" t="s">
        <v>11</v>
      </c>
      <c r="D180" s="179"/>
      <c r="E180" s="179"/>
      <c r="F180" s="175"/>
      <c r="G180" s="177"/>
      <c r="H180" s="175"/>
      <c r="I180" s="175"/>
      <c r="J180" s="175"/>
      <c r="K180" s="175"/>
      <c r="L180" s="175"/>
      <c r="M180" s="175"/>
      <c r="N180" s="177"/>
      <c r="O180" s="175"/>
      <c r="P180" s="175"/>
      <c r="Q180" s="175"/>
      <c r="R180" s="175"/>
      <c r="S180" s="175"/>
      <c r="T180" s="177"/>
      <c r="U180" s="177"/>
      <c r="V180" s="175"/>
      <c r="W180" s="175"/>
      <c r="X180" s="175"/>
      <c r="Y180" s="175"/>
      <c r="Z180" s="177"/>
      <c r="AA180" s="177"/>
      <c r="AB180" s="175"/>
      <c r="AC180" s="175"/>
      <c r="AD180" s="175"/>
      <c r="AE180" s="175"/>
      <c r="AF180" s="175"/>
      <c r="AG180" s="175"/>
      <c r="AH180" s="184"/>
      <c r="AI180" s="174">
        <f t="shared" ref="AI180" si="180">SUM(D180:AH180)</f>
        <v>0</v>
      </c>
      <c r="AJ180" s="87">
        <f>SUMIF(D182:AH182, "LL", D180:AH180) + SUMIF(D182:AH182, "LL", D181:AH181)</f>
        <v>0</v>
      </c>
      <c r="AK180" s="12"/>
      <c r="AL180" s="18"/>
      <c r="AM180" s="100">
        <f t="shared" ref="AM180" si="181">SUMIF(D182:AH182, "CO", D180:AH180) + SUMIF(D182:AH182, "CO", D181:AH181)</f>
        <v>0</v>
      </c>
      <c r="AN180" s="58">
        <f>SUM(AI180:AM180)</f>
        <v>0</v>
      </c>
      <c r="AO180" s="17"/>
      <c r="AP180" s="75"/>
      <c r="AQ180" s="133"/>
      <c r="AR180" s="45"/>
      <c r="AS180" s="121"/>
      <c r="AT180" s="121"/>
      <c r="AU180" s="121"/>
      <c r="AV180" s="121"/>
      <c r="AW180" s="121"/>
      <c r="AX180" s="121"/>
      <c r="AY180" s="121"/>
      <c r="AZ180" s="121"/>
      <c r="BA180" s="121"/>
      <c r="BB180" s="121"/>
      <c r="BC180" s="121"/>
      <c r="BD180" s="121"/>
      <c r="BE180" s="121"/>
      <c r="BF180" s="121"/>
      <c r="BG180" s="121"/>
      <c r="BH180" s="121"/>
      <c r="BI180" s="121"/>
      <c r="BJ180" s="121"/>
      <c r="BK180" s="121"/>
      <c r="BL180" s="121"/>
      <c r="BM180" s="121"/>
      <c r="BN180" s="121"/>
    </row>
    <row r="181" spans="1:66" s="2" customFormat="1" ht="20" thickBot="1" x14ac:dyDescent="0.3">
      <c r="A181" s="152"/>
      <c r="B181" s="182"/>
      <c r="C181" s="94" t="s">
        <v>12</v>
      </c>
      <c r="D181" s="180"/>
      <c r="E181" s="180"/>
      <c r="F181" s="176"/>
      <c r="G181" s="178"/>
      <c r="H181" s="176"/>
      <c r="I181" s="176"/>
      <c r="J181" s="176"/>
      <c r="K181" s="176"/>
      <c r="L181" s="176"/>
      <c r="M181" s="176"/>
      <c r="N181" s="178"/>
      <c r="O181" s="176"/>
      <c r="P181" s="176"/>
      <c r="Q181" s="176"/>
      <c r="R181" s="176"/>
      <c r="S181" s="176"/>
      <c r="T181" s="178"/>
      <c r="U181" s="178"/>
      <c r="V181" s="176"/>
      <c r="W181" s="176"/>
      <c r="X181" s="176"/>
      <c r="Y181" s="176"/>
      <c r="Z181" s="178"/>
      <c r="AA181" s="178"/>
      <c r="AB181" s="176"/>
      <c r="AC181" s="176"/>
      <c r="AD181" s="176"/>
      <c r="AE181" s="176"/>
      <c r="AF181" s="176"/>
      <c r="AG181" s="176"/>
      <c r="AH181" s="185"/>
      <c r="AI181" s="169"/>
      <c r="AJ181" s="11"/>
      <c r="AK181" s="10"/>
      <c r="AL181" s="7"/>
      <c r="AM181" s="11"/>
      <c r="AN181" s="59"/>
      <c r="AO181" s="5"/>
      <c r="AP181" s="73"/>
      <c r="AQ181" s="133"/>
      <c r="AR181" s="5"/>
      <c r="AS181" s="121"/>
      <c r="AT181" s="121"/>
      <c r="AU181" s="121"/>
      <c r="AV181" s="121"/>
      <c r="AW181" s="121"/>
      <c r="AX181" s="121"/>
      <c r="AY181" s="121"/>
      <c r="AZ181" s="121"/>
      <c r="BA181" s="121"/>
      <c r="BB181" s="121"/>
      <c r="BC181" s="121"/>
      <c r="BD181" s="121"/>
      <c r="BE181" s="121"/>
      <c r="BF181" s="121"/>
      <c r="BG181" s="121"/>
      <c r="BH181" s="121"/>
      <c r="BI181" s="121"/>
      <c r="BJ181" s="121"/>
      <c r="BK181" s="121"/>
      <c r="BL181" s="121"/>
      <c r="BM181" s="121"/>
      <c r="BN181" s="121"/>
    </row>
    <row r="182" spans="1:66" s="2" customFormat="1" ht="20" thickBot="1" x14ac:dyDescent="0.3">
      <c r="A182" s="153"/>
      <c r="B182" s="183"/>
      <c r="C182" s="92" t="s">
        <v>4</v>
      </c>
      <c r="D182" s="95"/>
      <c r="E182" s="95"/>
      <c r="F182" s="95"/>
      <c r="G182" s="96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7"/>
      <c r="AI182" s="36"/>
      <c r="AJ182" s="34"/>
      <c r="AK182" s="29"/>
      <c r="AL182" s="28"/>
      <c r="AM182" s="34"/>
      <c r="AN182" s="60"/>
      <c r="AO182" s="30"/>
      <c r="AP182" s="74"/>
      <c r="AQ182" s="133"/>
      <c r="AR182" s="5"/>
      <c r="AS182" s="121"/>
      <c r="AT182" s="121"/>
      <c r="AU182" s="121"/>
      <c r="AV182" s="121"/>
      <c r="AW182" s="121"/>
      <c r="AX182" s="121"/>
      <c r="AY182" s="121"/>
      <c r="AZ182" s="121"/>
      <c r="BA182" s="121"/>
      <c r="BB182" s="121"/>
      <c r="BC182" s="121"/>
      <c r="BD182" s="121"/>
      <c r="BE182" s="121"/>
      <c r="BF182" s="121"/>
      <c r="BG182" s="121"/>
      <c r="BH182" s="121"/>
      <c r="BI182" s="121"/>
      <c r="BJ182" s="121"/>
      <c r="BK182" s="121"/>
      <c r="BL182" s="121"/>
      <c r="BM182" s="121"/>
      <c r="BN182" s="121"/>
    </row>
    <row r="183" spans="1:66" s="2" customFormat="1" ht="23" thickTop="1" thickBot="1" x14ac:dyDescent="0.3">
      <c r="A183" s="151">
        <v>59</v>
      </c>
      <c r="B183" s="186"/>
      <c r="C183" s="98" t="s">
        <v>11</v>
      </c>
      <c r="D183" s="179"/>
      <c r="E183" s="179"/>
      <c r="F183" s="175"/>
      <c r="G183" s="177"/>
      <c r="H183" s="175"/>
      <c r="I183" s="175"/>
      <c r="J183" s="175"/>
      <c r="K183" s="175"/>
      <c r="L183" s="175"/>
      <c r="M183" s="175"/>
      <c r="N183" s="177"/>
      <c r="O183" s="175"/>
      <c r="P183" s="175"/>
      <c r="Q183" s="175"/>
      <c r="R183" s="175"/>
      <c r="S183" s="175"/>
      <c r="T183" s="177"/>
      <c r="U183" s="177"/>
      <c r="V183" s="175"/>
      <c r="W183" s="175"/>
      <c r="X183" s="175"/>
      <c r="Y183" s="175"/>
      <c r="Z183" s="177"/>
      <c r="AA183" s="177"/>
      <c r="AB183" s="175"/>
      <c r="AC183" s="175"/>
      <c r="AD183" s="175"/>
      <c r="AE183" s="175"/>
      <c r="AF183" s="175"/>
      <c r="AG183" s="175"/>
      <c r="AH183" s="184"/>
      <c r="AI183" s="168">
        <f t="shared" ref="AI183" si="182">SUM(D183:AH183)</f>
        <v>0</v>
      </c>
      <c r="AJ183" s="86">
        <f>SUMIF(D185:AH185, "LL", D183:AH183) + SUMIF(D185:AH185, "LL", D184:AH184)</f>
        <v>0</v>
      </c>
      <c r="AK183" s="12"/>
      <c r="AL183" s="18"/>
      <c r="AM183" s="99">
        <f t="shared" ref="AM183" si="183">SUMIF(D185:AH185, "CO", D183:AH183) + SUMIF(D185:AH185, "CO", D184:AH184)</f>
        <v>0</v>
      </c>
      <c r="AN183" s="58">
        <f>SUM(AI183:AM183)</f>
        <v>0</v>
      </c>
      <c r="AO183" s="17"/>
      <c r="AP183" s="75"/>
      <c r="AQ183" s="133"/>
      <c r="AR183" s="6"/>
      <c r="AS183" s="121"/>
      <c r="AT183" s="121"/>
      <c r="AU183" s="121"/>
      <c r="AV183" s="121"/>
      <c r="AW183" s="121"/>
      <c r="AX183" s="121"/>
      <c r="AY183" s="121"/>
      <c r="AZ183" s="121"/>
      <c r="BA183" s="121"/>
      <c r="BB183" s="121"/>
      <c r="BC183" s="121"/>
      <c r="BD183" s="121"/>
      <c r="BE183" s="121"/>
      <c r="BF183" s="121"/>
      <c r="BG183" s="121"/>
      <c r="BH183" s="121"/>
      <c r="BI183" s="121"/>
      <c r="BJ183" s="121"/>
      <c r="BK183" s="121"/>
      <c r="BL183" s="121"/>
      <c r="BM183" s="121"/>
      <c r="BN183" s="121"/>
    </row>
    <row r="184" spans="1:66" s="2" customFormat="1" ht="20" thickBot="1" x14ac:dyDescent="0.3">
      <c r="A184" s="152"/>
      <c r="B184" s="182"/>
      <c r="C184" s="94" t="s">
        <v>12</v>
      </c>
      <c r="D184" s="180"/>
      <c r="E184" s="180"/>
      <c r="F184" s="176"/>
      <c r="G184" s="178"/>
      <c r="H184" s="176"/>
      <c r="I184" s="176"/>
      <c r="J184" s="176"/>
      <c r="K184" s="176"/>
      <c r="L184" s="176"/>
      <c r="M184" s="176"/>
      <c r="N184" s="178"/>
      <c r="O184" s="176"/>
      <c r="P184" s="176"/>
      <c r="Q184" s="176"/>
      <c r="R184" s="176"/>
      <c r="S184" s="176"/>
      <c r="T184" s="178"/>
      <c r="U184" s="178"/>
      <c r="V184" s="176"/>
      <c r="W184" s="176"/>
      <c r="X184" s="176"/>
      <c r="Y184" s="176"/>
      <c r="Z184" s="178"/>
      <c r="AA184" s="178"/>
      <c r="AB184" s="176"/>
      <c r="AC184" s="176"/>
      <c r="AD184" s="176"/>
      <c r="AE184" s="176"/>
      <c r="AF184" s="176"/>
      <c r="AG184" s="176"/>
      <c r="AH184" s="185"/>
      <c r="AI184" s="169"/>
      <c r="AJ184" s="11"/>
      <c r="AK184" s="10"/>
      <c r="AL184" s="7"/>
      <c r="AM184" s="11"/>
      <c r="AN184" s="59"/>
      <c r="AO184" s="5"/>
      <c r="AP184" s="73"/>
      <c r="AQ184" s="133"/>
      <c r="AR184" s="5"/>
      <c r="AS184" s="121"/>
      <c r="AT184" s="121"/>
      <c r="AU184" s="121"/>
      <c r="AV184" s="121"/>
      <c r="AW184" s="121"/>
      <c r="AX184" s="121"/>
      <c r="AY184" s="121"/>
      <c r="AZ184" s="121"/>
      <c r="BA184" s="121"/>
      <c r="BB184" s="121"/>
      <c r="BC184" s="121"/>
      <c r="BD184" s="121"/>
      <c r="BE184" s="121"/>
      <c r="BF184" s="121"/>
      <c r="BG184" s="121"/>
      <c r="BH184" s="121"/>
      <c r="BI184" s="121"/>
      <c r="BJ184" s="121"/>
      <c r="BK184" s="121"/>
      <c r="BL184" s="121"/>
      <c r="BM184" s="121"/>
      <c r="BN184" s="121"/>
    </row>
    <row r="185" spans="1:66" s="2" customFormat="1" ht="20" thickBot="1" x14ac:dyDescent="0.3">
      <c r="A185" s="153"/>
      <c r="B185" s="183"/>
      <c r="C185" s="92" t="s">
        <v>4</v>
      </c>
      <c r="D185" s="95"/>
      <c r="E185" s="95"/>
      <c r="F185" s="95"/>
      <c r="G185" s="96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7"/>
      <c r="AI185" s="36"/>
      <c r="AJ185" s="34"/>
      <c r="AK185" s="29"/>
      <c r="AL185" s="28"/>
      <c r="AM185" s="34"/>
      <c r="AN185" s="60"/>
      <c r="AO185" s="30"/>
      <c r="AP185" s="74"/>
      <c r="AQ185" s="133"/>
      <c r="AR185" s="5"/>
      <c r="AS185" s="121"/>
      <c r="AT185" s="121"/>
      <c r="AU185" s="121"/>
      <c r="AV185" s="121"/>
      <c r="AW185" s="121"/>
      <c r="AX185" s="121"/>
      <c r="AY185" s="121"/>
      <c r="AZ185" s="121"/>
      <c r="BA185" s="121"/>
      <c r="BB185" s="121"/>
      <c r="BC185" s="121"/>
      <c r="BD185" s="121"/>
      <c r="BE185" s="121"/>
      <c r="BF185" s="121"/>
      <c r="BG185" s="121"/>
      <c r="BH185" s="121"/>
      <c r="BI185" s="121"/>
      <c r="BJ185" s="121"/>
      <c r="BK185" s="121"/>
      <c r="BL185" s="121"/>
      <c r="BM185" s="121"/>
      <c r="BN185" s="121"/>
    </row>
    <row r="186" spans="1:66" s="2" customFormat="1" ht="21" thickTop="1" thickBot="1" x14ac:dyDescent="0.3">
      <c r="A186" s="151">
        <v>60</v>
      </c>
      <c r="B186" s="186"/>
      <c r="C186" s="98" t="s">
        <v>11</v>
      </c>
      <c r="D186" s="179"/>
      <c r="E186" s="179"/>
      <c r="F186" s="175"/>
      <c r="G186" s="177"/>
      <c r="H186" s="175"/>
      <c r="I186" s="175"/>
      <c r="J186" s="175"/>
      <c r="K186" s="175"/>
      <c r="L186" s="175"/>
      <c r="M186" s="175"/>
      <c r="N186" s="177"/>
      <c r="O186" s="175"/>
      <c r="P186" s="175"/>
      <c r="Q186" s="175"/>
      <c r="R186" s="175"/>
      <c r="S186" s="175"/>
      <c r="T186" s="177"/>
      <c r="U186" s="177"/>
      <c r="V186" s="175"/>
      <c r="W186" s="175"/>
      <c r="X186" s="175"/>
      <c r="Y186" s="175"/>
      <c r="Z186" s="177"/>
      <c r="AA186" s="177"/>
      <c r="AB186" s="175"/>
      <c r="AC186" s="175"/>
      <c r="AD186" s="175"/>
      <c r="AE186" s="175"/>
      <c r="AF186" s="175"/>
      <c r="AG186" s="175"/>
      <c r="AH186" s="184"/>
      <c r="AI186" s="174">
        <f t="shared" ref="AI186" si="184">SUM(D186:AH186)</f>
        <v>0</v>
      </c>
      <c r="AJ186" s="87">
        <f>SUMIF(D188:AH188, "LL", D186:AH186) + SUMIF(D188:AH188, "LL", D187:AH187)</f>
        <v>0</v>
      </c>
      <c r="AK186" s="18"/>
      <c r="AL186" s="18"/>
      <c r="AM186" s="100">
        <f t="shared" ref="AM186" si="185">SUMIF(D188:AH188, "CO", D186:AH186) + SUMIF(D188:AH188, "CO", D187:AH187)</f>
        <v>0</v>
      </c>
      <c r="AN186" s="58">
        <f>SUM(AI186:AM186)</f>
        <v>0</v>
      </c>
      <c r="AO186" s="17"/>
      <c r="AP186" s="76"/>
      <c r="AQ186" s="133"/>
      <c r="AR186" s="46"/>
      <c r="AS186" s="121"/>
      <c r="AT186" s="121"/>
      <c r="AU186" s="121"/>
      <c r="AV186" s="121"/>
      <c r="AW186" s="121"/>
      <c r="AX186" s="121"/>
      <c r="AY186" s="121"/>
      <c r="AZ186" s="121"/>
      <c r="BA186" s="121"/>
      <c r="BB186" s="121"/>
      <c r="BC186" s="121"/>
      <c r="BD186" s="121"/>
      <c r="BE186" s="121"/>
      <c r="BF186" s="121"/>
      <c r="BG186" s="121"/>
      <c r="BH186" s="121"/>
      <c r="BI186" s="121"/>
      <c r="BJ186" s="121"/>
      <c r="BK186" s="121"/>
      <c r="BL186" s="121"/>
      <c r="BM186" s="121"/>
      <c r="BN186" s="121"/>
    </row>
    <row r="187" spans="1:66" s="2" customFormat="1" ht="20" thickBot="1" x14ac:dyDescent="0.3">
      <c r="A187" s="152"/>
      <c r="B187" s="182"/>
      <c r="C187" s="94" t="s">
        <v>12</v>
      </c>
      <c r="D187" s="180"/>
      <c r="E187" s="180"/>
      <c r="F187" s="176"/>
      <c r="G187" s="178"/>
      <c r="H187" s="176"/>
      <c r="I187" s="176"/>
      <c r="J187" s="176"/>
      <c r="K187" s="176"/>
      <c r="L187" s="176"/>
      <c r="M187" s="176"/>
      <c r="N187" s="178"/>
      <c r="O187" s="176"/>
      <c r="P187" s="176"/>
      <c r="Q187" s="176"/>
      <c r="R187" s="176"/>
      <c r="S187" s="176"/>
      <c r="T187" s="178"/>
      <c r="U187" s="178"/>
      <c r="V187" s="176"/>
      <c r="W187" s="176"/>
      <c r="X187" s="176"/>
      <c r="Y187" s="176"/>
      <c r="Z187" s="178"/>
      <c r="AA187" s="178"/>
      <c r="AB187" s="176"/>
      <c r="AC187" s="176"/>
      <c r="AD187" s="176"/>
      <c r="AE187" s="176"/>
      <c r="AF187" s="176"/>
      <c r="AG187" s="176"/>
      <c r="AH187" s="185"/>
      <c r="AI187" s="169"/>
      <c r="AJ187" s="11"/>
      <c r="AK187" s="7"/>
      <c r="AL187" s="7"/>
      <c r="AM187" s="11"/>
      <c r="AN187" s="59"/>
      <c r="AO187" s="5"/>
      <c r="AP187" s="73"/>
      <c r="AQ187" s="133"/>
      <c r="AR187" s="5"/>
      <c r="AS187" s="121"/>
      <c r="AT187" s="121"/>
      <c r="AU187" s="121"/>
      <c r="AV187" s="121"/>
      <c r="AW187" s="121"/>
      <c r="AX187" s="121"/>
      <c r="AY187" s="121"/>
      <c r="AZ187" s="121"/>
      <c r="BA187" s="121"/>
      <c r="BB187" s="121"/>
      <c r="BC187" s="121"/>
      <c r="BD187" s="121"/>
      <c r="BE187" s="121"/>
      <c r="BF187" s="121"/>
      <c r="BG187" s="121"/>
      <c r="BH187" s="121"/>
      <c r="BI187" s="121"/>
      <c r="BJ187" s="121"/>
      <c r="BK187" s="121"/>
      <c r="BL187" s="121"/>
      <c r="BM187" s="121"/>
      <c r="BN187" s="121"/>
    </row>
    <row r="188" spans="1:66" s="2" customFormat="1" ht="20" thickBot="1" x14ac:dyDescent="0.3">
      <c r="A188" s="153"/>
      <c r="B188" s="183"/>
      <c r="C188" s="92" t="s">
        <v>4</v>
      </c>
      <c r="D188" s="95"/>
      <c r="E188" s="95"/>
      <c r="F188" s="95"/>
      <c r="G188" s="96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7"/>
      <c r="AI188" s="36"/>
      <c r="AJ188" s="34"/>
      <c r="AK188" s="28"/>
      <c r="AL188" s="28"/>
      <c r="AM188" s="34"/>
      <c r="AN188" s="60"/>
      <c r="AO188" s="30"/>
      <c r="AP188" s="74"/>
      <c r="AQ188" s="133"/>
      <c r="AR188" s="5"/>
      <c r="AS188" s="121"/>
      <c r="AT188" s="121"/>
      <c r="AU188" s="121"/>
      <c r="AV188" s="121"/>
      <c r="AW188" s="121"/>
      <c r="AX188" s="121"/>
      <c r="AY188" s="121"/>
      <c r="AZ188" s="121"/>
      <c r="BA188" s="121"/>
      <c r="BB188" s="121"/>
      <c r="BC188" s="121"/>
      <c r="BD188" s="121"/>
      <c r="BE188" s="121"/>
      <c r="BF188" s="121"/>
      <c r="BG188" s="121"/>
      <c r="BH188" s="121"/>
      <c r="BI188" s="121"/>
      <c r="BJ188" s="121"/>
      <c r="BK188" s="121"/>
      <c r="BL188" s="121"/>
      <c r="BM188" s="121"/>
      <c r="BN188" s="121"/>
    </row>
    <row r="189" spans="1:66" s="2" customFormat="1" ht="21" thickTop="1" thickBot="1" x14ac:dyDescent="0.3">
      <c r="A189" s="151">
        <v>61</v>
      </c>
      <c r="B189" s="148"/>
      <c r="C189" s="91" t="s">
        <v>11</v>
      </c>
      <c r="D189" s="166"/>
      <c r="E189" s="166"/>
      <c r="F189" s="160"/>
      <c r="G189" s="164"/>
      <c r="H189" s="162"/>
      <c r="I189" s="162"/>
      <c r="J189" s="160"/>
      <c r="K189" s="160"/>
      <c r="L189" s="160"/>
      <c r="M189" s="160"/>
      <c r="N189" s="164"/>
      <c r="O189" s="162"/>
      <c r="P189" s="162"/>
      <c r="Q189" s="160"/>
      <c r="R189" s="160"/>
      <c r="S189" s="160"/>
      <c r="T189" s="172"/>
      <c r="U189" s="164"/>
      <c r="V189" s="162"/>
      <c r="W189" s="162"/>
      <c r="X189" s="160"/>
      <c r="Y189" s="160"/>
      <c r="Z189" s="164"/>
      <c r="AA189" s="164"/>
      <c r="AB189" s="160"/>
      <c r="AC189" s="162"/>
      <c r="AD189" s="162"/>
      <c r="AE189" s="162"/>
      <c r="AF189" s="162"/>
      <c r="AG189" s="160"/>
      <c r="AH189" s="170"/>
      <c r="AI189" s="168">
        <f t="shared" ref="AI189" si="186">SUM(D189:AH189)</f>
        <v>0</v>
      </c>
      <c r="AJ189" s="86">
        <f>SUMIF(D191:AH191, "LL", D189:AH189) + SUMIF(D191:AH191, "LL", D190:AH190)</f>
        <v>0</v>
      </c>
      <c r="AK189" s="18"/>
      <c r="AL189" s="26"/>
      <c r="AM189" s="99">
        <f t="shared" ref="AM189" si="187">SUMIF(D191:AH191, "CO", D189:AH189) + SUMIF(D191:AH191, "CO", D190:AH190)</f>
        <v>0</v>
      </c>
      <c r="AN189" s="61">
        <f>SUM(AI189:AM189)</f>
        <v>0</v>
      </c>
      <c r="AO189" s="27"/>
      <c r="AP189" s="77"/>
      <c r="AQ189" s="133"/>
      <c r="AR189" s="5"/>
      <c r="AS189" s="121"/>
      <c r="AT189" s="121"/>
      <c r="AU189" s="121"/>
      <c r="AV189" s="121"/>
      <c r="AW189" s="121"/>
      <c r="AX189" s="121"/>
      <c r="AY189" s="121"/>
      <c r="AZ189" s="121"/>
      <c r="BA189" s="121"/>
      <c r="BB189" s="121"/>
      <c r="BC189" s="121"/>
      <c r="BD189" s="121"/>
      <c r="BE189" s="121"/>
      <c r="BF189" s="121"/>
      <c r="BG189" s="121"/>
      <c r="BH189" s="121"/>
      <c r="BI189" s="121"/>
      <c r="BJ189" s="121"/>
      <c r="BK189" s="121"/>
      <c r="BL189" s="121"/>
      <c r="BM189" s="121"/>
      <c r="BN189" s="121"/>
    </row>
    <row r="190" spans="1:66" s="2" customFormat="1" ht="22" thickBot="1" x14ac:dyDescent="0.3">
      <c r="A190" s="152"/>
      <c r="B190" s="149"/>
      <c r="C190" s="3" t="s">
        <v>12</v>
      </c>
      <c r="D190" s="167"/>
      <c r="E190" s="167"/>
      <c r="F190" s="161"/>
      <c r="G190" s="165"/>
      <c r="H190" s="163"/>
      <c r="I190" s="163"/>
      <c r="J190" s="161"/>
      <c r="K190" s="161"/>
      <c r="L190" s="161"/>
      <c r="M190" s="161"/>
      <c r="N190" s="165"/>
      <c r="O190" s="163"/>
      <c r="P190" s="163"/>
      <c r="Q190" s="161"/>
      <c r="R190" s="161"/>
      <c r="S190" s="161"/>
      <c r="T190" s="173"/>
      <c r="U190" s="165"/>
      <c r="V190" s="163"/>
      <c r="W190" s="163"/>
      <c r="X190" s="161"/>
      <c r="Y190" s="161"/>
      <c r="Z190" s="165"/>
      <c r="AA190" s="165"/>
      <c r="AB190" s="161"/>
      <c r="AC190" s="163"/>
      <c r="AD190" s="163"/>
      <c r="AE190" s="163"/>
      <c r="AF190" s="163"/>
      <c r="AG190" s="161"/>
      <c r="AH190" s="171"/>
      <c r="AI190" s="169"/>
      <c r="AJ190" s="11"/>
      <c r="AK190" s="7"/>
      <c r="AL190" s="7"/>
      <c r="AM190" s="11"/>
      <c r="AN190" s="59"/>
      <c r="AO190" s="5"/>
      <c r="AP190" s="78"/>
      <c r="AQ190" s="133"/>
      <c r="AR190" s="5"/>
      <c r="AS190" s="121"/>
      <c r="AT190" s="121"/>
      <c r="AU190" s="121"/>
      <c r="AV190" s="121"/>
      <c r="AW190" s="121"/>
      <c r="AX190" s="121"/>
      <c r="AY190" s="121"/>
      <c r="AZ190" s="121"/>
      <c r="BA190" s="121"/>
      <c r="BB190" s="121"/>
      <c r="BC190" s="121"/>
      <c r="BD190" s="121"/>
      <c r="BE190" s="121"/>
      <c r="BF190" s="121"/>
      <c r="BG190" s="121"/>
      <c r="BH190" s="121"/>
      <c r="BI190" s="121"/>
      <c r="BJ190" s="121"/>
      <c r="BK190" s="121"/>
      <c r="BL190" s="121"/>
      <c r="BM190" s="121"/>
      <c r="BN190" s="121"/>
    </row>
    <row r="191" spans="1:66" s="2" customFormat="1" ht="20" thickBot="1" x14ac:dyDescent="0.3">
      <c r="A191" s="153"/>
      <c r="B191" s="150"/>
      <c r="C191" s="92" t="s">
        <v>4</v>
      </c>
      <c r="D191" s="88"/>
      <c r="E191" s="88"/>
      <c r="F191" s="88"/>
      <c r="G191" s="89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88"/>
      <c r="AC191" s="88"/>
      <c r="AD191" s="88"/>
      <c r="AE191" s="88"/>
      <c r="AF191" s="88"/>
      <c r="AG191" s="88"/>
      <c r="AH191" s="90"/>
      <c r="AI191" s="36"/>
      <c r="AJ191" s="34"/>
      <c r="AK191" s="28"/>
      <c r="AL191" s="28"/>
      <c r="AM191" s="34"/>
      <c r="AN191" s="60"/>
      <c r="AO191" s="30"/>
      <c r="AP191" s="74"/>
      <c r="AQ191" s="133"/>
      <c r="AR191" s="5"/>
      <c r="AS191" s="121"/>
      <c r="AT191" s="121"/>
      <c r="AU191" s="121"/>
      <c r="AV191" s="121"/>
      <c r="AW191" s="121"/>
      <c r="AX191" s="121"/>
      <c r="AY191" s="121"/>
      <c r="AZ191" s="121"/>
      <c r="BA191" s="121"/>
      <c r="BB191" s="121"/>
      <c r="BC191" s="121"/>
      <c r="BD191" s="121"/>
      <c r="BE191" s="121"/>
      <c r="BF191" s="121"/>
      <c r="BG191" s="121"/>
      <c r="BH191" s="121"/>
      <c r="BI191" s="121"/>
      <c r="BJ191" s="121"/>
      <c r="BK191" s="121"/>
      <c r="BL191" s="121"/>
      <c r="BM191" s="121"/>
      <c r="BN191" s="121"/>
    </row>
    <row r="192" spans="1:66" s="2" customFormat="1" ht="21" thickTop="1" thickBot="1" x14ac:dyDescent="0.3">
      <c r="A192" s="151">
        <v>62</v>
      </c>
      <c r="B192" s="148"/>
      <c r="C192" s="91" t="s">
        <v>11</v>
      </c>
      <c r="D192" s="166"/>
      <c r="E192" s="166"/>
      <c r="F192" s="160"/>
      <c r="G192" s="164"/>
      <c r="H192" s="162"/>
      <c r="I192" s="162"/>
      <c r="J192" s="160"/>
      <c r="K192" s="160"/>
      <c r="L192" s="160"/>
      <c r="M192" s="160"/>
      <c r="N192" s="164"/>
      <c r="O192" s="162"/>
      <c r="P192" s="162"/>
      <c r="Q192" s="160"/>
      <c r="R192" s="160"/>
      <c r="S192" s="160"/>
      <c r="T192" s="172"/>
      <c r="U192" s="164"/>
      <c r="V192" s="162"/>
      <c r="W192" s="162"/>
      <c r="X192" s="160"/>
      <c r="Y192" s="160"/>
      <c r="Z192" s="164"/>
      <c r="AA192" s="164"/>
      <c r="AB192" s="160"/>
      <c r="AC192" s="162"/>
      <c r="AD192" s="162"/>
      <c r="AE192" s="162"/>
      <c r="AF192" s="162"/>
      <c r="AG192" s="160"/>
      <c r="AH192" s="170"/>
      <c r="AI192" s="174">
        <f t="shared" ref="AI192" si="188">SUM(D192:AH192)</f>
        <v>0</v>
      </c>
      <c r="AJ192" s="87">
        <f>SUMIF(D194:AH194, "LL", D192:AH192) + SUMIF(D194:AH194, "LL", D193:AH193)</f>
        <v>0</v>
      </c>
      <c r="AK192" s="18"/>
      <c r="AL192" s="26"/>
      <c r="AM192" s="100">
        <f t="shared" ref="AM192" si="189">SUMIF(D194:AH194, "CO", D192:AH192) + SUMIF(D194:AH194, "CO", D193:AH193)</f>
        <v>0</v>
      </c>
      <c r="AN192" s="61">
        <f>SUM(AI192:AM192)</f>
        <v>0</v>
      </c>
      <c r="AO192" s="27"/>
      <c r="AP192" s="77"/>
      <c r="AQ192" s="133"/>
      <c r="AR192" s="5"/>
      <c r="AS192" s="121"/>
      <c r="AT192" s="121"/>
      <c r="AU192" s="121"/>
      <c r="AV192" s="121"/>
      <c r="AW192" s="121"/>
      <c r="AX192" s="121"/>
      <c r="AY192" s="121"/>
      <c r="AZ192" s="121"/>
      <c r="BA192" s="121"/>
      <c r="BB192" s="121"/>
      <c r="BC192" s="121"/>
      <c r="BD192" s="121"/>
      <c r="BE192" s="121"/>
      <c r="BF192" s="121"/>
      <c r="BG192" s="121"/>
      <c r="BH192" s="121"/>
      <c r="BI192" s="121"/>
      <c r="BJ192" s="121"/>
      <c r="BK192" s="121"/>
      <c r="BL192" s="121"/>
      <c r="BM192" s="121"/>
      <c r="BN192" s="121"/>
    </row>
    <row r="193" spans="1:66" s="2" customFormat="1" ht="22" thickBot="1" x14ac:dyDescent="0.3">
      <c r="A193" s="152"/>
      <c r="B193" s="149"/>
      <c r="C193" s="3" t="s">
        <v>12</v>
      </c>
      <c r="D193" s="167"/>
      <c r="E193" s="167"/>
      <c r="F193" s="161"/>
      <c r="G193" s="165"/>
      <c r="H193" s="163"/>
      <c r="I193" s="163"/>
      <c r="J193" s="161"/>
      <c r="K193" s="161"/>
      <c r="L193" s="161"/>
      <c r="M193" s="161"/>
      <c r="N193" s="165"/>
      <c r="O193" s="163"/>
      <c r="P193" s="163"/>
      <c r="Q193" s="161"/>
      <c r="R193" s="161"/>
      <c r="S193" s="161"/>
      <c r="T193" s="173"/>
      <c r="U193" s="165"/>
      <c r="V193" s="163"/>
      <c r="W193" s="163"/>
      <c r="X193" s="161"/>
      <c r="Y193" s="161"/>
      <c r="Z193" s="165"/>
      <c r="AA193" s="165"/>
      <c r="AB193" s="161"/>
      <c r="AC193" s="163"/>
      <c r="AD193" s="163"/>
      <c r="AE193" s="163"/>
      <c r="AF193" s="163"/>
      <c r="AG193" s="161"/>
      <c r="AH193" s="171"/>
      <c r="AI193" s="169"/>
      <c r="AJ193" s="11"/>
      <c r="AK193" s="7"/>
      <c r="AL193" s="7"/>
      <c r="AM193" s="11"/>
      <c r="AN193" s="59"/>
      <c r="AO193" s="5"/>
      <c r="AP193" s="78"/>
      <c r="AQ193" s="133"/>
      <c r="AR193" s="5"/>
      <c r="AS193" s="121"/>
      <c r="AT193" s="121"/>
      <c r="AU193" s="121"/>
      <c r="AV193" s="121"/>
      <c r="AW193" s="121"/>
      <c r="AX193" s="121"/>
      <c r="AY193" s="121"/>
      <c r="AZ193" s="121"/>
      <c r="BA193" s="121"/>
      <c r="BB193" s="121"/>
      <c r="BC193" s="121"/>
      <c r="BD193" s="121"/>
      <c r="BE193" s="121"/>
      <c r="BF193" s="121"/>
      <c r="BG193" s="121"/>
      <c r="BH193" s="121"/>
      <c r="BI193" s="121"/>
      <c r="BJ193" s="121"/>
      <c r="BK193" s="121"/>
      <c r="BL193" s="121"/>
      <c r="BM193" s="121"/>
      <c r="BN193" s="121"/>
    </row>
    <row r="194" spans="1:66" s="2" customFormat="1" ht="20" thickBot="1" x14ac:dyDescent="0.3">
      <c r="A194" s="153"/>
      <c r="B194" s="150"/>
      <c r="C194" s="92" t="s">
        <v>4</v>
      </c>
      <c r="D194" s="88"/>
      <c r="E194" s="88"/>
      <c r="F194" s="88"/>
      <c r="G194" s="89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90"/>
      <c r="AI194" s="36"/>
      <c r="AJ194" s="34"/>
      <c r="AK194" s="28"/>
      <c r="AL194" s="28"/>
      <c r="AM194" s="34"/>
      <c r="AN194" s="60"/>
      <c r="AO194" s="30"/>
      <c r="AP194" s="74"/>
      <c r="AQ194" s="133"/>
      <c r="AR194" s="5"/>
      <c r="AS194" s="121"/>
      <c r="AT194" s="121"/>
      <c r="AU194" s="121"/>
      <c r="AV194" s="121"/>
      <c r="AW194" s="121"/>
      <c r="AX194" s="121"/>
      <c r="AY194" s="121"/>
      <c r="AZ194" s="121"/>
      <c r="BA194" s="121"/>
      <c r="BB194" s="121"/>
      <c r="BC194" s="121"/>
      <c r="BD194" s="121"/>
      <c r="BE194" s="121"/>
      <c r="BF194" s="121"/>
      <c r="BG194" s="121"/>
      <c r="BH194" s="121"/>
      <c r="BI194" s="121"/>
      <c r="BJ194" s="121"/>
      <c r="BK194" s="121"/>
      <c r="BL194" s="121"/>
      <c r="BM194" s="121"/>
      <c r="BN194" s="121"/>
    </row>
    <row r="195" spans="1:66" s="2" customFormat="1" ht="21" thickTop="1" thickBot="1" x14ac:dyDescent="0.3">
      <c r="A195" s="151">
        <v>63</v>
      </c>
      <c r="B195" s="148"/>
      <c r="C195" s="91" t="s">
        <v>11</v>
      </c>
      <c r="D195" s="166"/>
      <c r="E195" s="166"/>
      <c r="F195" s="160"/>
      <c r="G195" s="164"/>
      <c r="H195" s="162"/>
      <c r="I195" s="162"/>
      <c r="J195" s="160"/>
      <c r="K195" s="160"/>
      <c r="L195" s="160"/>
      <c r="M195" s="160"/>
      <c r="N195" s="164"/>
      <c r="O195" s="162"/>
      <c r="P195" s="162"/>
      <c r="Q195" s="160"/>
      <c r="R195" s="160"/>
      <c r="S195" s="160"/>
      <c r="T195" s="172"/>
      <c r="U195" s="164"/>
      <c r="V195" s="162"/>
      <c r="W195" s="162"/>
      <c r="X195" s="160"/>
      <c r="Y195" s="160"/>
      <c r="Z195" s="164"/>
      <c r="AA195" s="164"/>
      <c r="AB195" s="160"/>
      <c r="AC195" s="162"/>
      <c r="AD195" s="162"/>
      <c r="AE195" s="162"/>
      <c r="AF195" s="162"/>
      <c r="AG195" s="160"/>
      <c r="AH195" s="170"/>
      <c r="AI195" s="168">
        <f t="shared" ref="AI195" si="190">SUM(D195:AH195)</f>
        <v>0</v>
      </c>
      <c r="AJ195" s="86">
        <f>SUMIF(D197:AH197, "LL", D195:AH195) + SUMIF(D197:AH197, "LL", D196:AH196)</f>
        <v>0</v>
      </c>
      <c r="AK195" s="18"/>
      <c r="AL195" s="26"/>
      <c r="AM195" s="99">
        <f t="shared" ref="AM195" si="191">SUMIF(D197:AH197, "CO", D195:AH195) + SUMIF(D197:AH197, "CO", D196:AH196)</f>
        <v>0</v>
      </c>
      <c r="AN195" s="61">
        <f>SUM(AI195:AM195)</f>
        <v>0</v>
      </c>
      <c r="AO195" s="27"/>
      <c r="AP195" s="77"/>
      <c r="AQ195" s="133"/>
      <c r="AR195" s="5"/>
      <c r="AS195" s="121"/>
      <c r="AT195" s="121"/>
      <c r="AU195" s="121"/>
      <c r="AV195" s="121"/>
      <c r="AW195" s="121"/>
      <c r="AX195" s="121"/>
      <c r="AY195" s="121"/>
      <c r="AZ195" s="121"/>
      <c r="BA195" s="121"/>
      <c r="BB195" s="121"/>
      <c r="BC195" s="121"/>
      <c r="BD195" s="121"/>
      <c r="BE195" s="121"/>
      <c r="BF195" s="121"/>
      <c r="BG195" s="121"/>
      <c r="BH195" s="121"/>
      <c r="BI195" s="121"/>
      <c r="BJ195" s="121"/>
      <c r="BK195" s="121"/>
      <c r="BL195" s="121"/>
      <c r="BM195" s="121"/>
      <c r="BN195" s="121"/>
    </row>
    <row r="196" spans="1:66" s="2" customFormat="1" ht="22" thickBot="1" x14ac:dyDescent="0.3">
      <c r="A196" s="152"/>
      <c r="B196" s="149"/>
      <c r="C196" s="3" t="s">
        <v>12</v>
      </c>
      <c r="D196" s="167"/>
      <c r="E196" s="167"/>
      <c r="F196" s="161"/>
      <c r="G196" s="165"/>
      <c r="H196" s="163"/>
      <c r="I196" s="163"/>
      <c r="J196" s="161"/>
      <c r="K196" s="161"/>
      <c r="L196" s="161"/>
      <c r="M196" s="161"/>
      <c r="N196" s="165"/>
      <c r="O196" s="163"/>
      <c r="P196" s="163"/>
      <c r="Q196" s="161"/>
      <c r="R196" s="161"/>
      <c r="S196" s="161"/>
      <c r="T196" s="173"/>
      <c r="U196" s="165"/>
      <c r="V196" s="163"/>
      <c r="W196" s="163"/>
      <c r="X196" s="161"/>
      <c r="Y196" s="161"/>
      <c r="Z196" s="165"/>
      <c r="AA196" s="165"/>
      <c r="AB196" s="161"/>
      <c r="AC196" s="163"/>
      <c r="AD196" s="163"/>
      <c r="AE196" s="163"/>
      <c r="AF196" s="163"/>
      <c r="AG196" s="161"/>
      <c r="AH196" s="171"/>
      <c r="AI196" s="169"/>
      <c r="AJ196" s="11"/>
      <c r="AK196" s="7"/>
      <c r="AL196" s="7"/>
      <c r="AM196" s="11"/>
      <c r="AN196" s="59"/>
      <c r="AO196" s="5"/>
      <c r="AP196" s="78"/>
      <c r="AQ196" s="133"/>
      <c r="AR196" s="5"/>
      <c r="AS196" s="121"/>
      <c r="AT196" s="121"/>
      <c r="AU196" s="121"/>
      <c r="AV196" s="121"/>
      <c r="AW196" s="121"/>
      <c r="AX196" s="121"/>
      <c r="AY196" s="121"/>
      <c r="AZ196" s="121"/>
      <c r="BA196" s="121"/>
      <c r="BB196" s="121"/>
      <c r="BC196" s="121"/>
      <c r="BD196" s="121"/>
      <c r="BE196" s="121"/>
      <c r="BF196" s="121"/>
      <c r="BG196" s="121"/>
      <c r="BH196" s="121"/>
      <c r="BI196" s="121"/>
      <c r="BJ196" s="121"/>
      <c r="BK196" s="121"/>
      <c r="BL196" s="121"/>
      <c r="BM196" s="121"/>
      <c r="BN196" s="121"/>
    </row>
    <row r="197" spans="1:66" s="2" customFormat="1" ht="20" thickBot="1" x14ac:dyDescent="0.3">
      <c r="A197" s="153"/>
      <c r="B197" s="150"/>
      <c r="C197" s="92" t="s">
        <v>4</v>
      </c>
      <c r="D197" s="88"/>
      <c r="E197" s="88"/>
      <c r="F197" s="88"/>
      <c r="G197" s="89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88"/>
      <c r="AC197" s="88"/>
      <c r="AD197" s="88"/>
      <c r="AE197" s="88"/>
      <c r="AF197" s="88"/>
      <c r="AG197" s="88"/>
      <c r="AH197" s="90"/>
      <c r="AI197" s="36"/>
      <c r="AJ197" s="34"/>
      <c r="AK197" s="47"/>
      <c r="AL197" s="47"/>
      <c r="AM197" s="34"/>
      <c r="AN197" s="62"/>
      <c r="AO197" s="48"/>
      <c r="AP197" s="79"/>
      <c r="AQ197" s="134"/>
      <c r="AR197" s="5"/>
      <c r="AS197" s="121"/>
      <c r="AT197" s="121"/>
      <c r="AU197" s="121"/>
      <c r="AV197" s="121"/>
      <c r="AW197" s="121"/>
      <c r="AX197" s="121"/>
      <c r="AY197" s="121"/>
      <c r="AZ197" s="121"/>
      <c r="BA197" s="121"/>
      <c r="BB197" s="121"/>
      <c r="BC197" s="121"/>
      <c r="BD197" s="121"/>
      <c r="BE197" s="121"/>
      <c r="BF197" s="121"/>
      <c r="BG197" s="121"/>
      <c r="BH197" s="121"/>
      <c r="BI197" s="121"/>
      <c r="BJ197" s="121"/>
      <c r="BK197" s="121"/>
      <c r="BL197" s="121"/>
      <c r="BM197" s="121"/>
      <c r="BN197" s="121"/>
    </row>
    <row r="198" spans="1:66" s="2" customFormat="1" ht="20" thickTop="1" x14ac:dyDescent="0.25">
      <c r="A198" s="151">
        <v>64</v>
      </c>
      <c r="B198" s="148"/>
      <c r="C198" s="91" t="s">
        <v>11</v>
      </c>
      <c r="D198" s="166"/>
      <c r="E198" s="166"/>
      <c r="F198" s="160"/>
      <c r="G198" s="164"/>
      <c r="H198" s="162"/>
      <c r="I198" s="162"/>
      <c r="J198" s="160"/>
      <c r="K198" s="160"/>
      <c r="L198" s="160"/>
      <c r="M198" s="160"/>
      <c r="N198" s="164"/>
      <c r="O198" s="162"/>
      <c r="P198" s="162"/>
      <c r="Q198" s="160"/>
      <c r="R198" s="160"/>
      <c r="S198" s="160"/>
      <c r="T198" s="172"/>
      <c r="U198" s="164"/>
      <c r="V198" s="162"/>
      <c r="W198" s="162"/>
      <c r="X198" s="160"/>
      <c r="Y198" s="160"/>
      <c r="Z198" s="164"/>
      <c r="AA198" s="164"/>
      <c r="AB198" s="160"/>
      <c r="AC198" s="162"/>
      <c r="AD198" s="162"/>
      <c r="AE198" s="162"/>
      <c r="AF198" s="162"/>
      <c r="AG198" s="160"/>
      <c r="AH198" s="170"/>
      <c r="AI198" s="174">
        <f t="shared" ref="AI198" si="192">SUM(D198:AH198)</f>
        <v>0</v>
      </c>
      <c r="AJ198" s="87">
        <f>SUMIF(D200:AH200, "LL", D198:AH198) + SUMIF(D200:AH200, "LL", D199:AH199)</f>
        <v>0</v>
      </c>
      <c r="AK198" s="7"/>
      <c r="AL198" s="7"/>
      <c r="AM198" s="100">
        <f t="shared" ref="AM198" si="193">SUMIF(D200:AH200, "CO", D198:AH198) + SUMIF(D200:AH200, "CO", D199:AH199)</f>
        <v>0</v>
      </c>
      <c r="AN198" s="59">
        <f>SUM(AI198:AM198)</f>
        <v>0</v>
      </c>
      <c r="AO198" s="5"/>
      <c r="AP198" s="73"/>
      <c r="AQ198" s="135"/>
      <c r="AR198" s="5"/>
      <c r="AS198" s="121"/>
      <c r="AT198" s="121"/>
      <c r="AU198" s="121"/>
      <c r="AV198" s="121"/>
      <c r="AW198" s="121"/>
      <c r="AX198" s="121"/>
      <c r="AY198" s="121"/>
      <c r="AZ198" s="121"/>
      <c r="BA198" s="121"/>
      <c r="BB198" s="121"/>
      <c r="BC198" s="121"/>
      <c r="BD198" s="121"/>
      <c r="BE198" s="121"/>
      <c r="BF198" s="121"/>
      <c r="BG198" s="121"/>
      <c r="BH198" s="121"/>
      <c r="BI198" s="121"/>
      <c r="BJ198" s="121"/>
      <c r="BK198" s="121"/>
      <c r="BL198" s="121"/>
      <c r="BM198" s="121"/>
      <c r="BN198" s="121"/>
    </row>
    <row r="199" spans="1:66" s="2" customFormat="1" ht="21" x14ac:dyDescent="0.25">
      <c r="A199" s="152"/>
      <c r="B199" s="149"/>
      <c r="C199" s="3" t="s">
        <v>12</v>
      </c>
      <c r="D199" s="167"/>
      <c r="E199" s="167"/>
      <c r="F199" s="161"/>
      <c r="G199" s="165"/>
      <c r="H199" s="163"/>
      <c r="I199" s="163"/>
      <c r="J199" s="161"/>
      <c r="K199" s="161"/>
      <c r="L199" s="161"/>
      <c r="M199" s="161"/>
      <c r="N199" s="165"/>
      <c r="O199" s="163"/>
      <c r="P199" s="163"/>
      <c r="Q199" s="161"/>
      <c r="R199" s="161"/>
      <c r="S199" s="161"/>
      <c r="T199" s="173"/>
      <c r="U199" s="165"/>
      <c r="V199" s="163"/>
      <c r="W199" s="163"/>
      <c r="X199" s="161"/>
      <c r="Y199" s="161"/>
      <c r="Z199" s="165"/>
      <c r="AA199" s="165"/>
      <c r="AB199" s="161"/>
      <c r="AC199" s="163"/>
      <c r="AD199" s="163"/>
      <c r="AE199" s="163"/>
      <c r="AF199" s="163"/>
      <c r="AG199" s="161"/>
      <c r="AH199" s="171"/>
      <c r="AI199" s="169"/>
      <c r="AJ199" s="11"/>
      <c r="AK199" s="7"/>
      <c r="AL199" s="7"/>
      <c r="AM199" s="11"/>
      <c r="AN199" s="59"/>
      <c r="AO199" s="5"/>
      <c r="AP199" s="78"/>
      <c r="AQ199" s="135"/>
      <c r="AR199" s="5"/>
      <c r="AS199" s="121"/>
      <c r="AT199" s="121"/>
      <c r="AU199" s="121"/>
      <c r="AV199" s="121"/>
      <c r="AW199" s="121"/>
      <c r="AX199" s="121"/>
      <c r="AY199" s="121"/>
      <c r="AZ199" s="121"/>
      <c r="BA199" s="121"/>
      <c r="BB199" s="121"/>
      <c r="BC199" s="121"/>
      <c r="BD199" s="121"/>
      <c r="BE199" s="121"/>
      <c r="BF199" s="121"/>
      <c r="BG199" s="121"/>
      <c r="BH199" s="121"/>
      <c r="BI199" s="121"/>
      <c r="BJ199" s="121"/>
      <c r="BK199" s="121"/>
      <c r="BL199" s="121"/>
      <c r="BM199" s="121"/>
      <c r="BN199" s="121"/>
    </row>
    <row r="200" spans="1:66" s="2" customFormat="1" ht="22" thickBot="1" x14ac:dyDescent="0.3">
      <c r="A200" s="153"/>
      <c r="B200" s="150"/>
      <c r="C200" s="92" t="s">
        <v>4</v>
      </c>
      <c r="D200" s="88"/>
      <c r="E200" s="88"/>
      <c r="F200" s="88"/>
      <c r="G200" s="89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88"/>
      <c r="AC200" s="88"/>
      <c r="AD200" s="88"/>
      <c r="AE200" s="88"/>
      <c r="AF200" s="88"/>
      <c r="AG200" s="88"/>
      <c r="AH200" s="90"/>
      <c r="AI200" s="36"/>
      <c r="AJ200" s="34"/>
      <c r="AK200" s="7"/>
      <c r="AL200" s="7"/>
      <c r="AM200" s="34"/>
      <c r="AN200" s="59"/>
      <c r="AO200" s="5"/>
      <c r="AP200" s="78"/>
      <c r="AQ200" s="135"/>
      <c r="AR200" s="5"/>
      <c r="AS200" s="121"/>
      <c r="AT200" s="121"/>
      <c r="AU200" s="121"/>
      <c r="AV200" s="121"/>
      <c r="AW200" s="121"/>
      <c r="AX200" s="121"/>
      <c r="AY200" s="121"/>
      <c r="AZ200" s="121"/>
      <c r="BA200" s="121"/>
      <c r="BB200" s="121"/>
      <c r="BC200" s="121"/>
      <c r="BD200" s="121"/>
      <c r="BE200" s="121"/>
      <c r="BF200" s="121"/>
      <c r="BG200" s="121"/>
      <c r="BH200" s="121"/>
      <c r="BI200" s="121"/>
      <c r="BJ200" s="121"/>
      <c r="BK200" s="121"/>
      <c r="BL200" s="121"/>
      <c r="BM200" s="121"/>
      <c r="BN200" s="121"/>
    </row>
    <row r="201" spans="1:66" s="2" customFormat="1" ht="20" thickTop="1" x14ac:dyDescent="0.25">
      <c r="A201" s="151">
        <v>65</v>
      </c>
      <c r="B201" s="148"/>
      <c r="C201" s="91" t="s">
        <v>11</v>
      </c>
      <c r="D201" s="166"/>
      <c r="E201" s="166"/>
      <c r="F201" s="160"/>
      <c r="G201" s="164"/>
      <c r="H201" s="162"/>
      <c r="I201" s="162"/>
      <c r="J201" s="160"/>
      <c r="K201" s="160"/>
      <c r="L201" s="160"/>
      <c r="M201" s="160"/>
      <c r="N201" s="164"/>
      <c r="O201" s="162"/>
      <c r="P201" s="162"/>
      <c r="Q201" s="160"/>
      <c r="R201" s="160"/>
      <c r="S201" s="160"/>
      <c r="T201" s="172"/>
      <c r="U201" s="164"/>
      <c r="V201" s="162"/>
      <c r="W201" s="162"/>
      <c r="X201" s="160"/>
      <c r="Y201" s="160"/>
      <c r="Z201" s="164"/>
      <c r="AA201" s="164"/>
      <c r="AB201" s="160"/>
      <c r="AC201" s="162"/>
      <c r="AD201" s="162"/>
      <c r="AE201" s="162"/>
      <c r="AF201" s="162"/>
      <c r="AG201" s="160"/>
      <c r="AH201" s="170"/>
      <c r="AI201" s="168">
        <f t="shared" ref="AI201" si="194">SUM(D201:AH201)</f>
        <v>0</v>
      </c>
      <c r="AJ201" s="86">
        <f>SUMIF(D203:AH203, "LL", D201:AH201) + SUMIF(D203:AH203, "LL", D202:AH202)</f>
        <v>0</v>
      </c>
      <c r="AK201" s="7"/>
      <c r="AL201" s="7"/>
      <c r="AM201" s="99">
        <f t="shared" ref="AM201" si="195">SUMIF(D203:AH203, "CO", D201:AH201) + SUMIF(D203:AH203, "CO", D202:AH202)</f>
        <v>0</v>
      </c>
      <c r="AN201" s="59">
        <f>SUM(AI201:AM201)</f>
        <v>0</v>
      </c>
      <c r="AO201" s="5"/>
      <c r="AP201" s="73"/>
      <c r="AQ201" s="135"/>
      <c r="AR201" s="5"/>
      <c r="AS201" s="121"/>
      <c r="AT201" s="121"/>
      <c r="AU201" s="121"/>
      <c r="AV201" s="121"/>
      <c r="AW201" s="121"/>
      <c r="AX201" s="121"/>
      <c r="AY201" s="121"/>
      <c r="AZ201" s="121"/>
      <c r="BA201" s="121"/>
      <c r="BB201" s="121"/>
      <c r="BC201" s="121"/>
      <c r="BD201" s="121"/>
      <c r="BE201" s="121"/>
      <c r="BF201" s="121"/>
      <c r="BG201" s="121"/>
      <c r="BH201" s="121"/>
      <c r="BI201" s="121"/>
      <c r="BJ201" s="121"/>
      <c r="BK201" s="121"/>
      <c r="BL201" s="121"/>
      <c r="BM201" s="121"/>
      <c r="BN201" s="121"/>
    </row>
    <row r="202" spans="1:66" s="2" customFormat="1" ht="21" x14ac:dyDescent="0.25">
      <c r="A202" s="152"/>
      <c r="B202" s="149"/>
      <c r="C202" s="3" t="s">
        <v>12</v>
      </c>
      <c r="D202" s="167"/>
      <c r="E202" s="167"/>
      <c r="F202" s="161"/>
      <c r="G202" s="165"/>
      <c r="H202" s="163"/>
      <c r="I202" s="163"/>
      <c r="J202" s="161"/>
      <c r="K202" s="161"/>
      <c r="L202" s="161"/>
      <c r="M202" s="161"/>
      <c r="N202" s="165"/>
      <c r="O202" s="163"/>
      <c r="P202" s="163"/>
      <c r="Q202" s="161"/>
      <c r="R202" s="161"/>
      <c r="S202" s="161"/>
      <c r="T202" s="173"/>
      <c r="U202" s="165"/>
      <c r="V202" s="163"/>
      <c r="W202" s="163"/>
      <c r="X202" s="161"/>
      <c r="Y202" s="161"/>
      <c r="Z202" s="165"/>
      <c r="AA202" s="165"/>
      <c r="AB202" s="161"/>
      <c r="AC202" s="163"/>
      <c r="AD202" s="163"/>
      <c r="AE202" s="163"/>
      <c r="AF202" s="163"/>
      <c r="AG202" s="161"/>
      <c r="AH202" s="171"/>
      <c r="AI202" s="169"/>
      <c r="AJ202" s="11"/>
      <c r="AK202" s="7"/>
      <c r="AL202" s="7"/>
      <c r="AM202" s="11"/>
      <c r="AN202" s="59"/>
      <c r="AO202" s="5"/>
      <c r="AP202" s="78"/>
      <c r="AQ202" s="135"/>
      <c r="AR202" s="5"/>
      <c r="AS202" s="121"/>
      <c r="AT202" s="121"/>
      <c r="AU202" s="121"/>
      <c r="AV202" s="121"/>
      <c r="AW202" s="121"/>
      <c r="AX202" s="121"/>
      <c r="AY202" s="121"/>
      <c r="AZ202" s="121"/>
      <c r="BA202" s="121"/>
      <c r="BB202" s="121"/>
      <c r="BC202" s="121"/>
      <c r="BD202" s="121"/>
      <c r="BE202" s="121"/>
      <c r="BF202" s="121"/>
      <c r="BG202" s="121"/>
      <c r="BH202" s="121"/>
      <c r="BI202" s="121"/>
      <c r="BJ202" s="121"/>
      <c r="BK202" s="121"/>
      <c r="BL202" s="121"/>
      <c r="BM202" s="121"/>
      <c r="BN202" s="121"/>
    </row>
    <row r="203" spans="1:66" s="2" customFormat="1" ht="22" thickBot="1" x14ac:dyDescent="0.3">
      <c r="A203" s="153"/>
      <c r="B203" s="150"/>
      <c r="C203" s="92" t="s">
        <v>4</v>
      </c>
      <c r="D203" s="88"/>
      <c r="E203" s="88"/>
      <c r="F203" s="88"/>
      <c r="G203" s="89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  <c r="AG203" s="88"/>
      <c r="AH203" s="90"/>
      <c r="AI203" s="36"/>
      <c r="AJ203" s="34"/>
      <c r="AK203" s="7"/>
      <c r="AL203" s="7"/>
      <c r="AM203" s="34"/>
      <c r="AN203" s="59"/>
      <c r="AO203" s="5"/>
      <c r="AP203" s="78"/>
      <c r="AQ203" s="135"/>
      <c r="AR203" s="5"/>
      <c r="AS203" s="121"/>
      <c r="AT203" s="121"/>
      <c r="AU203" s="121"/>
      <c r="AV203" s="121"/>
      <c r="AW203" s="121"/>
      <c r="AX203" s="121"/>
      <c r="AY203" s="121"/>
      <c r="AZ203" s="121"/>
      <c r="BA203" s="121"/>
      <c r="BB203" s="121"/>
      <c r="BC203" s="121"/>
      <c r="BD203" s="121"/>
      <c r="BE203" s="121"/>
      <c r="BF203" s="121"/>
      <c r="BG203" s="121"/>
      <c r="BH203" s="121"/>
      <c r="BI203" s="121"/>
      <c r="BJ203" s="121"/>
      <c r="BK203" s="121"/>
      <c r="BL203" s="121"/>
      <c r="BM203" s="121"/>
      <c r="BN203" s="121"/>
    </row>
    <row r="204" spans="1:66" s="2" customFormat="1" ht="20" thickTop="1" x14ac:dyDescent="0.25">
      <c r="A204" s="151">
        <v>66</v>
      </c>
      <c r="B204" s="181"/>
      <c r="C204" s="93" t="s">
        <v>11</v>
      </c>
      <c r="D204" s="179"/>
      <c r="E204" s="179"/>
      <c r="F204" s="175"/>
      <c r="G204" s="177"/>
      <c r="H204" s="175"/>
      <c r="I204" s="175"/>
      <c r="J204" s="175"/>
      <c r="K204" s="175"/>
      <c r="L204" s="175"/>
      <c r="M204" s="175"/>
      <c r="N204" s="177"/>
      <c r="O204" s="175"/>
      <c r="P204" s="175"/>
      <c r="Q204" s="175"/>
      <c r="R204" s="175"/>
      <c r="S204" s="175"/>
      <c r="T204" s="177"/>
      <c r="U204" s="177"/>
      <c r="V204" s="175"/>
      <c r="W204" s="175"/>
      <c r="X204" s="175"/>
      <c r="Y204" s="175"/>
      <c r="Z204" s="177"/>
      <c r="AA204" s="177"/>
      <c r="AB204" s="175"/>
      <c r="AC204" s="175"/>
      <c r="AD204" s="175"/>
      <c r="AE204" s="175"/>
      <c r="AF204" s="175"/>
      <c r="AG204" s="175"/>
      <c r="AH204" s="184"/>
      <c r="AI204" s="174">
        <f t="shared" ref="AI204" si="196">SUM(D204:AH204)</f>
        <v>0</v>
      </c>
      <c r="AJ204" s="87">
        <f>SUMIF(D206:AH206, "LL", D204:AH204) + SUMIF(D206:AH206, "LL", D205:AH205)</f>
        <v>0</v>
      </c>
      <c r="AK204" s="7"/>
      <c r="AL204" s="7"/>
      <c r="AM204" s="100">
        <f t="shared" ref="AM204" si="197">SUMIF(D206:AH206, "CO", D204:AH204) + SUMIF(D206:AH206, "CO", D205:AH205)</f>
        <v>0</v>
      </c>
      <c r="AN204" s="59">
        <f>SUM(AI204:AM204)</f>
        <v>0</v>
      </c>
      <c r="AO204" s="5"/>
      <c r="AP204" s="73"/>
      <c r="AQ204" s="135"/>
      <c r="AR204" s="5"/>
      <c r="AS204" s="121"/>
      <c r="AT204" s="121"/>
      <c r="AU204" s="121"/>
      <c r="AV204" s="121"/>
      <c r="AW204" s="121"/>
      <c r="AX204" s="121"/>
      <c r="AY204" s="121"/>
      <c r="AZ204" s="121"/>
      <c r="BA204" s="121"/>
      <c r="BB204" s="121"/>
      <c r="BC204" s="121"/>
      <c r="BD204" s="121"/>
      <c r="BE204" s="121"/>
      <c r="BF204" s="121"/>
      <c r="BG204" s="121"/>
      <c r="BH204" s="121"/>
      <c r="BI204" s="121"/>
      <c r="BJ204" s="121"/>
      <c r="BK204" s="121"/>
      <c r="BL204" s="121"/>
      <c r="BM204" s="121"/>
      <c r="BN204" s="121"/>
    </row>
    <row r="205" spans="1:66" s="2" customFormat="1" ht="21" x14ac:dyDescent="0.25">
      <c r="A205" s="152"/>
      <c r="B205" s="182"/>
      <c r="C205" s="94" t="s">
        <v>12</v>
      </c>
      <c r="D205" s="180"/>
      <c r="E205" s="180"/>
      <c r="F205" s="176"/>
      <c r="G205" s="178"/>
      <c r="H205" s="176"/>
      <c r="I205" s="176"/>
      <c r="J205" s="176"/>
      <c r="K205" s="176"/>
      <c r="L205" s="176"/>
      <c r="M205" s="176"/>
      <c r="N205" s="178"/>
      <c r="O205" s="176"/>
      <c r="P205" s="176"/>
      <c r="Q205" s="176"/>
      <c r="R205" s="176"/>
      <c r="S205" s="176"/>
      <c r="T205" s="178"/>
      <c r="U205" s="178"/>
      <c r="V205" s="176"/>
      <c r="W205" s="176"/>
      <c r="X205" s="176"/>
      <c r="Y205" s="176"/>
      <c r="Z205" s="178"/>
      <c r="AA205" s="178"/>
      <c r="AB205" s="176"/>
      <c r="AC205" s="176"/>
      <c r="AD205" s="176"/>
      <c r="AE205" s="176"/>
      <c r="AF205" s="176"/>
      <c r="AG205" s="176"/>
      <c r="AH205" s="185"/>
      <c r="AI205" s="169"/>
      <c r="AJ205" s="11"/>
      <c r="AK205" s="7"/>
      <c r="AL205" s="7"/>
      <c r="AM205" s="11"/>
      <c r="AN205" s="59"/>
      <c r="AO205" s="5"/>
      <c r="AP205" s="78"/>
      <c r="AQ205" s="135"/>
      <c r="AR205" s="5"/>
      <c r="AS205" s="121"/>
      <c r="AT205" s="121"/>
      <c r="AU205" s="121"/>
      <c r="AV205" s="121"/>
      <c r="AW205" s="121"/>
      <c r="AX205" s="121"/>
      <c r="AY205" s="121"/>
      <c r="AZ205" s="121"/>
      <c r="BA205" s="121"/>
      <c r="BB205" s="121"/>
      <c r="BC205" s="121"/>
      <c r="BD205" s="121"/>
      <c r="BE205" s="121"/>
      <c r="BF205" s="121"/>
      <c r="BG205" s="121"/>
      <c r="BH205" s="121"/>
      <c r="BI205" s="121"/>
      <c r="BJ205" s="121"/>
      <c r="BK205" s="121"/>
      <c r="BL205" s="121"/>
      <c r="BM205" s="121"/>
      <c r="BN205" s="121"/>
    </row>
    <row r="206" spans="1:66" s="2" customFormat="1" ht="22" thickBot="1" x14ac:dyDescent="0.3">
      <c r="A206" s="153"/>
      <c r="B206" s="183"/>
      <c r="C206" s="92" t="s">
        <v>4</v>
      </c>
      <c r="D206" s="95"/>
      <c r="E206" s="95"/>
      <c r="F206" s="95"/>
      <c r="G206" s="96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7"/>
      <c r="AI206" s="36"/>
      <c r="AJ206" s="34"/>
      <c r="AK206" s="7"/>
      <c r="AL206" s="7"/>
      <c r="AM206" s="34"/>
      <c r="AN206" s="59"/>
      <c r="AO206" s="5"/>
      <c r="AP206" s="78"/>
      <c r="AQ206" s="135"/>
      <c r="AR206" s="5"/>
      <c r="AS206" s="121"/>
      <c r="AT206" s="121"/>
      <c r="AU206" s="121"/>
      <c r="AV206" s="121"/>
      <c r="AW206" s="121"/>
      <c r="AX206" s="121"/>
      <c r="AY206" s="121"/>
      <c r="AZ206" s="121"/>
      <c r="BA206" s="121"/>
      <c r="BB206" s="121"/>
      <c r="BC206" s="121"/>
      <c r="BD206" s="121"/>
      <c r="BE206" s="121"/>
      <c r="BF206" s="121"/>
      <c r="BG206" s="121"/>
      <c r="BH206" s="121"/>
      <c r="BI206" s="121"/>
      <c r="BJ206" s="121"/>
      <c r="BK206" s="121"/>
      <c r="BL206" s="121"/>
      <c r="BM206" s="121"/>
      <c r="BN206" s="121"/>
    </row>
    <row r="207" spans="1:66" s="2" customFormat="1" ht="20" thickTop="1" x14ac:dyDescent="0.25">
      <c r="A207" s="151">
        <v>67</v>
      </c>
      <c r="B207" s="186"/>
      <c r="C207" s="98" t="s">
        <v>11</v>
      </c>
      <c r="D207" s="179"/>
      <c r="E207" s="179"/>
      <c r="F207" s="175"/>
      <c r="G207" s="177"/>
      <c r="H207" s="175"/>
      <c r="I207" s="175"/>
      <c r="J207" s="175"/>
      <c r="K207" s="175"/>
      <c r="L207" s="175"/>
      <c r="M207" s="175"/>
      <c r="N207" s="177"/>
      <c r="O207" s="175"/>
      <c r="P207" s="175"/>
      <c r="Q207" s="175"/>
      <c r="R207" s="175"/>
      <c r="S207" s="175"/>
      <c r="T207" s="177"/>
      <c r="U207" s="177"/>
      <c r="V207" s="175"/>
      <c r="W207" s="175"/>
      <c r="X207" s="175"/>
      <c r="Y207" s="175"/>
      <c r="Z207" s="177"/>
      <c r="AA207" s="177"/>
      <c r="AB207" s="175"/>
      <c r="AC207" s="175"/>
      <c r="AD207" s="175"/>
      <c r="AE207" s="175"/>
      <c r="AF207" s="175"/>
      <c r="AG207" s="175"/>
      <c r="AH207" s="184"/>
      <c r="AI207" s="168">
        <f t="shared" ref="AI207" si="198">SUM(D207:AH207)</f>
        <v>0</v>
      </c>
      <c r="AJ207" s="86">
        <f>SUMIF(D209:AH209, "LL", D207:AH207) + SUMIF(D209:AH209, "LL", D208:AH208)</f>
        <v>0</v>
      </c>
      <c r="AK207" s="7"/>
      <c r="AL207" s="7"/>
      <c r="AM207" s="99">
        <f t="shared" ref="AM207" si="199">SUMIF(D209:AH209, "CO", D207:AH207) + SUMIF(D209:AH209, "CO", D208:AH208)</f>
        <v>0</v>
      </c>
      <c r="AN207" s="59">
        <f>SUM(AI207:AM207)</f>
        <v>0</v>
      </c>
      <c r="AO207" s="5"/>
      <c r="AP207" s="73"/>
      <c r="AQ207" s="135"/>
      <c r="AR207" s="5"/>
      <c r="AS207" s="121"/>
      <c r="AT207" s="121"/>
      <c r="AU207" s="121"/>
      <c r="AV207" s="121"/>
      <c r="AW207" s="121"/>
      <c r="AX207" s="121"/>
      <c r="AY207" s="121"/>
      <c r="AZ207" s="121"/>
      <c r="BA207" s="121"/>
      <c r="BB207" s="121"/>
      <c r="BC207" s="121"/>
      <c r="BD207" s="121"/>
      <c r="BE207" s="121"/>
      <c r="BF207" s="121"/>
      <c r="BG207" s="121"/>
      <c r="BH207" s="121"/>
      <c r="BI207" s="121"/>
      <c r="BJ207" s="121"/>
      <c r="BK207" s="121"/>
      <c r="BL207" s="121"/>
      <c r="BM207" s="121"/>
      <c r="BN207" s="121"/>
    </row>
    <row r="208" spans="1:66" s="2" customFormat="1" ht="21" x14ac:dyDescent="0.25">
      <c r="A208" s="152"/>
      <c r="B208" s="182"/>
      <c r="C208" s="94" t="s">
        <v>12</v>
      </c>
      <c r="D208" s="180"/>
      <c r="E208" s="180"/>
      <c r="F208" s="176"/>
      <c r="G208" s="178"/>
      <c r="H208" s="176"/>
      <c r="I208" s="176"/>
      <c r="J208" s="176"/>
      <c r="K208" s="176"/>
      <c r="L208" s="176"/>
      <c r="M208" s="176"/>
      <c r="N208" s="178"/>
      <c r="O208" s="176"/>
      <c r="P208" s="176"/>
      <c r="Q208" s="176"/>
      <c r="R208" s="176"/>
      <c r="S208" s="176"/>
      <c r="T208" s="178"/>
      <c r="U208" s="178"/>
      <c r="V208" s="176"/>
      <c r="W208" s="176"/>
      <c r="X208" s="176"/>
      <c r="Y208" s="176"/>
      <c r="Z208" s="178"/>
      <c r="AA208" s="178"/>
      <c r="AB208" s="176"/>
      <c r="AC208" s="176"/>
      <c r="AD208" s="176"/>
      <c r="AE208" s="176"/>
      <c r="AF208" s="176"/>
      <c r="AG208" s="176"/>
      <c r="AH208" s="185"/>
      <c r="AI208" s="169"/>
      <c r="AJ208" s="11"/>
      <c r="AK208" s="7"/>
      <c r="AL208" s="7"/>
      <c r="AM208" s="11"/>
      <c r="AN208" s="59"/>
      <c r="AO208" s="5"/>
      <c r="AP208" s="78"/>
      <c r="AQ208" s="135"/>
      <c r="AR208" s="5"/>
      <c r="AS208" s="121"/>
      <c r="AT208" s="121"/>
      <c r="AU208" s="121"/>
      <c r="AV208" s="121"/>
      <c r="AW208" s="121"/>
      <c r="AX208" s="121"/>
      <c r="AY208" s="121"/>
      <c r="AZ208" s="121"/>
      <c r="BA208" s="121"/>
      <c r="BB208" s="121"/>
      <c r="BC208" s="121"/>
      <c r="BD208" s="121"/>
      <c r="BE208" s="121"/>
      <c r="BF208" s="121"/>
      <c r="BG208" s="121"/>
      <c r="BH208" s="121"/>
      <c r="BI208" s="121"/>
      <c r="BJ208" s="121"/>
      <c r="BK208" s="121"/>
      <c r="BL208" s="121"/>
      <c r="BM208" s="121"/>
      <c r="BN208" s="121"/>
    </row>
    <row r="209" spans="1:66" s="2" customFormat="1" ht="22" thickBot="1" x14ac:dyDescent="0.3">
      <c r="A209" s="153"/>
      <c r="B209" s="183"/>
      <c r="C209" s="92" t="s">
        <v>4</v>
      </c>
      <c r="D209" s="95"/>
      <c r="E209" s="95"/>
      <c r="F209" s="95"/>
      <c r="G209" s="96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7"/>
      <c r="AI209" s="36"/>
      <c r="AJ209" s="34"/>
      <c r="AK209" s="7"/>
      <c r="AL209" s="7"/>
      <c r="AM209" s="34"/>
      <c r="AN209" s="59"/>
      <c r="AO209" s="5"/>
      <c r="AP209" s="78"/>
      <c r="AQ209" s="135"/>
      <c r="AR209" s="5"/>
      <c r="AS209" s="121"/>
      <c r="AT209" s="121"/>
      <c r="AU209" s="121"/>
      <c r="AV209" s="121"/>
      <c r="AW209" s="121"/>
      <c r="AX209" s="121"/>
      <c r="AY209" s="121"/>
      <c r="AZ209" s="121"/>
      <c r="BA209" s="121"/>
      <c r="BB209" s="121"/>
      <c r="BC209" s="121"/>
      <c r="BD209" s="121"/>
      <c r="BE209" s="121"/>
      <c r="BF209" s="121"/>
      <c r="BG209" s="121"/>
      <c r="BH209" s="121"/>
      <c r="BI209" s="121"/>
      <c r="BJ209" s="121"/>
      <c r="BK209" s="121"/>
      <c r="BL209" s="121"/>
      <c r="BM209" s="121"/>
      <c r="BN209" s="121"/>
    </row>
    <row r="210" spans="1:66" s="2" customFormat="1" ht="20" thickTop="1" x14ac:dyDescent="0.25">
      <c r="A210" s="151">
        <v>68</v>
      </c>
      <c r="B210" s="186"/>
      <c r="C210" s="98" t="s">
        <v>11</v>
      </c>
      <c r="D210" s="179"/>
      <c r="E210" s="179"/>
      <c r="F210" s="175"/>
      <c r="G210" s="177"/>
      <c r="H210" s="175"/>
      <c r="I210" s="175"/>
      <c r="J210" s="175"/>
      <c r="K210" s="175"/>
      <c r="L210" s="175"/>
      <c r="M210" s="175"/>
      <c r="N210" s="177"/>
      <c r="O210" s="175"/>
      <c r="P210" s="175"/>
      <c r="Q210" s="175"/>
      <c r="R210" s="175"/>
      <c r="S210" s="175"/>
      <c r="T210" s="177"/>
      <c r="U210" s="177"/>
      <c r="V210" s="175"/>
      <c r="W210" s="175"/>
      <c r="X210" s="175"/>
      <c r="Y210" s="175"/>
      <c r="Z210" s="177"/>
      <c r="AA210" s="177"/>
      <c r="AB210" s="175"/>
      <c r="AC210" s="175"/>
      <c r="AD210" s="175"/>
      <c r="AE210" s="175"/>
      <c r="AF210" s="175"/>
      <c r="AG210" s="175"/>
      <c r="AH210" s="184"/>
      <c r="AI210" s="174">
        <f t="shared" ref="AI210" si="200">SUM(D210:AH210)</f>
        <v>0</v>
      </c>
      <c r="AJ210" s="87">
        <f>SUMIF(D212:AH212, "LL", D210:AH210) + SUMIF(D212:AH212, "LL", D211:AH211)</f>
        <v>0</v>
      </c>
      <c r="AK210" s="7"/>
      <c r="AL210" s="7"/>
      <c r="AM210" s="100">
        <f t="shared" ref="AM210" si="201">SUMIF(D212:AH212, "CO", D210:AH210) + SUMIF(D212:AH212, "CO", D211:AH211)</f>
        <v>0</v>
      </c>
      <c r="AN210" s="59">
        <f>SUM(AI210:AM210)</f>
        <v>0</v>
      </c>
      <c r="AO210" s="5"/>
      <c r="AP210" s="73"/>
      <c r="AQ210" s="135"/>
      <c r="AR210" s="5"/>
      <c r="AS210" s="121"/>
      <c r="AT210" s="121"/>
      <c r="AU210" s="121"/>
      <c r="AV210" s="121"/>
      <c r="AW210" s="121"/>
      <c r="AX210" s="121"/>
      <c r="AY210" s="121"/>
      <c r="AZ210" s="121"/>
      <c r="BA210" s="121"/>
      <c r="BB210" s="121"/>
      <c r="BC210" s="121"/>
      <c r="BD210" s="121"/>
      <c r="BE210" s="121"/>
      <c r="BF210" s="121"/>
      <c r="BG210" s="121"/>
      <c r="BH210" s="121"/>
      <c r="BI210" s="121"/>
      <c r="BJ210" s="121"/>
      <c r="BK210" s="121"/>
      <c r="BL210" s="121"/>
      <c r="BM210" s="121"/>
      <c r="BN210" s="121"/>
    </row>
    <row r="211" spans="1:66" s="2" customFormat="1" ht="21" x14ac:dyDescent="0.25">
      <c r="A211" s="152"/>
      <c r="B211" s="182"/>
      <c r="C211" s="94" t="s">
        <v>12</v>
      </c>
      <c r="D211" s="180"/>
      <c r="E211" s="180"/>
      <c r="F211" s="176"/>
      <c r="G211" s="178"/>
      <c r="H211" s="176"/>
      <c r="I211" s="176"/>
      <c r="J211" s="176"/>
      <c r="K211" s="176"/>
      <c r="L211" s="176"/>
      <c r="M211" s="176"/>
      <c r="N211" s="178"/>
      <c r="O211" s="176"/>
      <c r="P211" s="176"/>
      <c r="Q211" s="176"/>
      <c r="R211" s="176"/>
      <c r="S211" s="176"/>
      <c r="T211" s="178"/>
      <c r="U211" s="178"/>
      <c r="V211" s="176"/>
      <c r="W211" s="176"/>
      <c r="X211" s="176"/>
      <c r="Y211" s="176"/>
      <c r="Z211" s="178"/>
      <c r="AA211" s="178"/>
      <c r="AB211" s="176"/>
      <c r="AC211" s="176"/>
      <c r="AD211" s="176"/>
      <c r="AE211" s="176"/>
      <c r="AF211" s="176"/>
      <c r="AG211" s="176"/>
      <c r="AH211" s="185"/>
      <c r="AI211" s="169"/>
      <c r="AJ211" s="11"/>
      <c r="AK211" s="7"/>
      <c r="AL211" s="7"/>
      <c r="AM211" s="11"/>
      <c r="AN211" s="59"/>
      <c r="AO211" s="5"/>
      <c r="AP211" s="78"/>
      <c r="AQ211" s="135"/>
      <c r="AR211" s="5"/>
      <c r="AS211" s="121"/>
      <c r="AT211" s="121"/>
      <c r="AU211" s="121"/>
      <c r="AV211" s="121"/>
      <c r="AW211" s="121"/>
      <c r="AX211" s="121"/>
      <c r="AY211" s="121"/>
      <c r="AZ211" s="121"/>
      <c r="BA211" s="121"/>
      <c r="BB211" s="121"/>
      <c r="BC211" s="121"/>
      <c r="BD211" s="121"/>
      <c r="BE211" s="121"/>
      <c r="BF211" s="121"/>
      <c r="BG211" s="121"/>
      <c r="BH211" s="121"/>
      <c r="BI211" s="121"/>
      <c r="BJ211" s="121"/>
      <c r="BK211" s="121"/>
      <c r="BL211" s="121"/>
      <c r="BM211" s="121"/>
      <c r="BN211" s="121"/>
    </row>
    <row r="212" spans="1:66" s="2" customFormat="1" ht="22" thickBot="1" x14ac:dyDescent="0.3">
      <c r="A212" s="153"/>
      <c r="B212" s="183"/>
      <c r="C212" s="92" t="s">
        <v>4</v>
      </c>
      <c r="D212" s="95"/>
      <c r="E212" s="95"/>
      <c r="F212" s="95"/>
      <c r="G212" s="96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7"/>
      <c r="AI212" s="36"/>
      <c r="AJ212" s="34"/>
      <c r="AK212" s="7"/>
      <c r="AL212" s="7"/>
      <c r="AM212" s="34"/>
      <c r="AN212" s="59"/>
      <c r="AO212" s="5"/>
      <c r="AP212" s="78"/>
      <c r="AQ212" s="135"/>
      <c r="AR212" s="5"/>
      <c r="AS212" s="121"/>
      <c r="AT212" s="121"/>
      <c r="AU212" s="121"/>
      <c r="AV212" s="121"/>
      <c r="AW212" s="121"/>
      <c r="AX212" s="121"/>
      <c r="AY212" s="121"/>
      <c r="AZ212" s="121"/>
      <c r="BA212" s="121"/>
      <c r="BB212" s="121"/>
      <c r="BC212" s="121"/>
      <c r="BD212" s="121"/>
      <c r="BE212" s="121"/>
      <c r="BF212" s="121"/>
      <c r="BG212" s="121"/>
      <c r="BH212" s="121"/>
      <c r="BI212" s="121"/>
      <c r="BJ212" s="121"/>
      <c r="BK212" s="121"/>
      <c r="BL212" s="121"/>
      <c r="BM212" s="121"/>
      <c r="BN212" s="121"/>
    </row>
    <row r="213" spans="1:66" s="2" customFormat="1" ht="19" x14ac:dyDescent="0.25">
      <c r="AI213" s="101"/>
      <c r="AJ213" s="104"/>
      <c r="AK213" s="47"/>
      <c r="AL213" s="47"/>
      <c r="AN213" s="48"/>
      <c r="AO213" s="48"/>
      <c r="AP213" s="48"/>
      <c r="AQ213" s="136"/>
      <c r="AR213" s="48"/>
      <c r="AS213" s="121"/>
      <c r="AT213" s="111"/>
      <c r="AU213" s="112"/>
      <c r="AV213" s="111"/>
      <c r="AW213" s="112"/>
      <c r="AX213" s="120"/>
      <c r="AY213" s="121"/>
      <c r="AZ213" s="111"/>
      <c r="BA213" s="121"/>
      <c r="BB213" s="121"/>
      <c r="BC213" s="121"/>
      <c r="BD213" s="121"/>
      <c r="BE213" s="121"/>
      <c r="BF213" s="121"/>
      <c r="BG213" s="121"/>
      <c r="BH213" s="121"/>
      <c r="BI213" s="121"/>
      <c r="BJ213" s="121"/>
      <c r="BK213" s="121"/>
      <c r="BL213" s="121"/>
      <c r="BM213" s="121"/>
      <c r="BN213" s="121"/>
    </row>
    <row r="214" spans="1:66" s="2" customFormat="1" ht="21" x14ac:dyDescent="0.25">
      <c r="AI214" s="101"/>
      <c r="AJ214" s="103"/>
      <c r="AK214" s="105"/>
      <c r="AL214" s="105"/>
      <c r="AN214" s="108"/>
      <c r="AO214" s="108"/>
      <c r="AP214" s="109"/>
      <c r="AQ214" s="137"/>
      <c r="AR214" s="110"/>
      <c r="AS214" s="121"/>
      <c r="AT214" s="121"/>
      <c r="AU214" s="121"/>
      <c r="AV214" s="121"/>
      <c r="AW214" s="121"/>
      <c r="AX214" s="121"/>
      <c r="AY214" s="121"/>
      <c r="AZ214" s="121"/>
      <c r="BA214" s="121"/>
      <c r="BB214" s="121"/>
      <c r="BC214" s="121"/>
      <c r="BD214" s="121"/>
      <c r="BE214" s="121"/>
      <c r="BF214" s="121"/>
      <c r="BG214" s="121"/>
      <c r="BH214" s="121"/>
      <c r="BI214" s="121"/>
      <c r="BJ214" s="121"/>
      <c r="BK214" s="121"/>
      <c r="BL214" s="121"/>
      <c r="BM214" s="121"/>
      <c r="BN214" s="121"/>
    </row>
    <row r="215" spans="1:66" s="2" customFormat="1" ht="21" x14ac:dyDescent="0.25">
      <c r="AI215" s="101"/>
      <c r="AJ215" s="103"/>
      <c r="AK215" s="105"/>
      <c r="AL215" s="105"/>
      <c r="AN215" s="108"/>
      <c r="AO215" s="108"/>
      <c r="AP215" s="109"/>
      <c r="AQ215" s="137"/>
      <c r="AR215" s="110"/>
      <c r="AS215" s="122"/>
      <c r="AT215" s="121"/>
      <c r="AU215" s="121"/>
      <c r="AV215" s="121"/>
      <c r="AW215" s="121"/>
      <c r="AX215" s="121"/>
      <c r="AY215" s="121"/>
      <c r="AZ215" s="121"/>
      <c r="BA215" s="121"/>
      <c r="BB215" s="121"/>
      <c r="BC215" s="121"/>
      <c r="BD215" s="121"/>
      <c r="BE215" s="121"/>
      <c r="BF215" s="121"/>
      <c r="BG215" s="121"/>
      <c r="BH215" s="121"/>
      <c r="BI215" s="121"/>
      <c r="BJ215" s="121"/>
      <c r="BK215" s="121"/>
      <c r="BL215" s="121"/>
      <c r="BM215" s="121"/>
      <c r="BN215" s="121"/>
    </row>
    <row r="216" spans="1:66" s="2" customFormat="1" ht="19" x14ac:dyDescent="0.25">
      <c r="AI216" s="101"/>
      <c r="AJ216" s="102"/>
      <c r="AK216" s="105"/>
      <c r="AL216" s="105"/>
      <c r="AN216" s="108"/>
      <c r="AO216" s="108"/>
      <c r="AP216" s="108"/>
      <c r="AQ216" s="138"/>
      <c r="AR216" s="110"/>
      <c r="AS216" s="122"/>
      <c r="AT216" s="121"/>
      <c r="AU216" s="121"/>
      <c r="AV216" s="121"/>
      <c r="AW216" s="121"/>
      <c r="AX216" s="121"/>
      <c r="AY216" s="121"/>
      <c r="AZ216" s="121"/>
      <c r="BA216" s="121"/>
      <c r="BB216" s="121"/>
      <c r="BC216" s="121"/>
      <c r="BD216" s="121"/>
      <c r="BE216" s="121"/>
      <c r="BF216" s="121"/>
      <c r="BG216" s="121"/>
      <c r="BH216" s="121"/>
      <c r="BI216" s="121"/>
      <c r="BJ216" s="121"/>
      <c r="BK216" s="121"/>
      <c r="BL216" s="121"/>
      <c r="BM216" s="121"/>
      <c r="BN216" s="121"/>
    </row>
    <row r="217" spans="1:66" s="2" customFormat="1" ht="21" x14ac:dyDescent="0.25">
      <c r="AI217" s="101"/>
      <c r="AJ217" s="103"/>
      <c r="AK217" s="105"/>
      <c r="AL217" s="105"/>
      <c r="AN217" s="108"/>
      <c r="AO217" s="108"/>
      <c r="AP217" s="109"/>
      <c r="AQ217" s="137"/>
      <c r="AR217" s="110"/>
      <c r="AS217" s="122"/>
      <c r="AT217" s="121"/>
      <c r="AU217" s="121"/>
      <c r="AV217" s="121"/>
      <c r="AW217" s="121"/>
      <c r="AX217" s="121"/>
      <c r="AY217" s="121"/>
      <c r="AZ217" s="121"/>
      <c r="BA217" s="121"/>
      <c r="BB217" s="121"/>
      <c r="BC217" s="121"/>
      <c r="BD217" s="121"/>
      <c r="BE217" s="121"/>
      <c r="BF217" s="121"/>
      <c r="BG217" s="121"/>
      <c r="BH217" s="121"/>
      <c r="BI217" s="121"/>
      <c r="BJ217" s="121"/>
      <c r="BK217" s="121"/>
      <c r="BL217" s="121"/>
      <c r="BM217" s="121"/>
      <c r="BN217" s="121"/>
    </row>
    <row r="218" spans="1:66" s="2" customFormat="1" ht="21" x14ac:dyDescent="0.25">
      <c r="AI218" s="101"/>
      <c r="AJ218" s="103"/>
      <c r="AK218" s="105"/>
      <c r="AL218" s="105"/>
      <c r="AN218" s="108"/>
      <c r="AO218" s="108"/>
      <c r="AP218" s="109"/>
      <c r="AQ218" s="137"/>
      <c r="AR218" s="110"/>
      <c r="AS218" s="122"/>
      <c r="AT218" s="121"/>
      <c r="AU218" s="121"/>
      <c r="AV218" s="121"/>
      <c r="AW218" s="121"/>
      <c r="AX218" s="121"/>
      <c r="AY218" s="121"/>
      <c r="AZ218" s="121"/>
      <c r="BA218" s="121"/>
      <c r="BB218" s="121"/>
      <c r="BC218" s="121"/>
      <c r="BD218" s="121"/>
      <c r="BE218" s="121"/>
      <c r="BF218" s="121"/>
      <c r="BG218" s="121"/>
      <c r="BH218" s="121"/>
      <c r="BI218" s="121"/>
      <c r="BJ218" s="121"/>
      <c r="BK218" s="121"/>
      <c r="BL218" s="121"/>
      <c r="BM218" s="121"/>
      <c r="BN218" s="121"/>
    </row>
    <row r="219" spans="1:66" s="2" customFormat="1" ht="19" x14ac:dyDescent="0.25">
      <c r="AI219" s="101"/>
      <c r="AJ219" s="102"/>
      <c r="AK219" s="105"/>
      <c r="AL219" s="105"/>
      <c r="AN219" s="108"/>
      <c r="AO219" s="108"/>
      <c r="AP219" s="108"/>
      <c r="AQ219" s="138"/>
      <c r="AR219" s="110"/>
      <c r="AS219" s="122"/>
      <c r="AT219" s="121"/>
      <c r="AU219" s="121"/>
      <c r="AV219" s="121"/>
      <c r="AW219" s="121"/>
      <c r="AX219" s="121"/>
      <c r="AY219" s="121"/>
      <c r="AZ219" s="121"/>
      <c r="BA219" s="121"/>
      <c r="BB219" s="121"/>
      <c r="BC219" s="121"/>
      <c r="BD219" s="121"/>
      <c r="BE219" s="121"/>
      <c r="BF219" s="121"/>
      <c r="BG219" s="121"/>
      <c r="BH219" s="121"/>
      <c r="BI219" s="121"/>
      <c r="BJ219" s="121"/>
      <c r="BK219" s="121"/>
      <c r="BL219" s="121"/>
      <c r="BM219" s="121"/>
      <c r="BN219" s="121"/>
    </row>
    <row r="220" spans="1:66" s="2" customFormat="1" ht="21" x14ac:dyDescent="0.25">
      <c r="AI220" s="101"/>
      <c r="AJ220" s="103"/>
      <c r="AK220" s="105"/>
      <c r="AL220" s="105"/>
      <c r="AN220" s="108"/>
      <c r="AO220" s="108"/>
      <c r="AP220" s="109"/>
      <c r="AQ220" s="137"/>
      <c r="AR220" s="110"/>
      <c r="AS220" s="122"/>
      <c r="AT220" s="121"/>
      <c r="AU220" s="121"/>
      <c r="AV220" s="121"/>
      <c r="AW220" s="121"/>
      <c r="AX220" s="121"/>
      <c r="AY220" s="121"/>
      <c r="AZ220" s="121"/>
      <c r="BA220" s="121"/>
      <c r="BB220" s="121"/>
      <c r="BC220" s="121"/>
      <c r="BD220" s="121"/>
      <c r="BE220" s="121"/>
      <c r="BF220" s="121"/>
      <c r="BG220" s="121"/>
      <c r="BH220" s="121"/>
      <c r="BI220" s="121"/>
      <c r="BJ220" s="121"/>
      <c r="BK220" s="121"/>
      <c r="BL220" s="121"/>
      <c r="BM220" s="121"/>
      <c r="BN220" s="121"/>
    </row>
    <row r="221" spans="1:66" s="2" customFormat="1" x14ac:dyDescent="0.2">
      <c r="AN221" s="125"/>
      <c r="AO221" s="121"/>
      <c r="AP221" s="121"/>
      <c r="AQ221" s="139"/>
      <c r="AS221" s="121"/>
      <c r="AT221" s="121"/>
      <c r="AU221" s="121"/>
      <c r="AV221" s="121"/>
      <c r="AW221" s="121"/>
      <c r="AX221" s="121"/>
      <c r="AY221" s="121"/>
      <c r="AZ221" s="121"/>
      <c r="BA221" s="121"/>
      <c r="BB221" s="119"/>
      <c r="BC221" s="119"/>
      <c r="BD221" s="121"/>
      <c r="BE221" s="121"/>
      <c r="BF221" s="121"/>
      <c r="BG221" s="121"/>
      <c r="BH221" s="121"/>
      <c r="BI221" s="121"/>
      <c r="BJ221" s="121"/>
      <c r="BK221" s="121"/>
      <c r="BL221" s="121"/>
      <c r="BM221" s="121"/>
      <c r="BN221" s="121"/>
    </row>
    <row r="222" spans="1:66" s="2" customFormat="1" x14ac:dyDescent="0.2">
      <c r="AN222" s="125"/>
      <c r="AO222" s="121"/>
      <c r="AP222" s="121"/>
      <c r="AQ222" s="139"/>
      <c r="AS222" s="121"/>
      <c r="AT222" s="121"/>
      <c r="AU222" s="121"/>
      <c r="AV222" s="121"/>
      <c r="AW222" s="121"/>
      <c r="AX222" s="121"/>
      <c r="AY222" s="121"/>
      <c r="AZ222" s="121"/>
      <c r="BA222" s="121"/>
      <c r="BB222" s="119"/>
      <c r="BC222" s="119"/>
      <c r="BD222" s="121"/>
      <c r="BE222" s="121"/>
      <c r="BF222" s="121"/>
      <c r="BG222" s="121"/>
      <c r="BH222" s="121"/>
      <c r="BI222" s="121"/>
      <c r="BJ222" s="121"/>
      <c r="BK222" s="121"/>
      <c r="BL222" s="121"/>
      <c r="BM222" s="121"/>
      <c r="BN222" s="121"/>
    </row>
    <row r="223" spans="1:66" s="2" customFormat="1" x14ac:dyDescent="0.2">
      <c r="AN223" s="125"/>
      <c r="AO223" s="121"/>
      <c r="AP223" s="121"/>
      <c r="AQ223" s="139"/>
      <c r="AS223" s="121"/>
      <c r="AT223" s="121"/>
      <c r="AU223" s="121"/>
      <c r="AV223" s="121"/>
      <c r="AW223" s="121"/>
      <c r="AX223" s="121"/>
      <c r="AY223" s="121"/>
      <c r="AZ223" s="121"/>
      <c r="BA223" s="121"/>
      <c r="BB223" s="119"/>
      <c r="BC223" s="119"/>
      <c r="BD223" s="121"/>
      <c r="BE223" s="121"/>
      <c r="BF223" s="121"/>
      <c r="BG223" s="121"/>
      <c r="BH223" s="121"/>
      <c r="BI223" s="121"/>
      <c r="BJ223" s="121"/>
      <c r="BK223" s="121"/>
      <c r="BL223" s="121"/>
      <c r="BM223" s="121"/>
      <c r="BN223" s="121"/>
    </row>
    <row r="224" spans="1:66" s="2" customFormat="1" x14ac:dyDescent="0.2">
      <c r="AN224" s="125"/>
      <c r="AO224" s="121"/>
      <c r="AP224" s="121"/>
      <c r="AQ224" s="139"/>
      <c r="AS224" s="121"/>
      <c r="AT224" s="121"/>
      <c r="AU224" s="121"/>
      <c r="AV224" s="121"/>
      <c r="AW224" s="121"/>
      <c r="AX224" s="121"/>
      <c r="AY224" s="121"/>
      <c r="AZ224" s="121"/>
      <c r="BA224" s="121"/>
      <c r="BB224" s="119"/>
      <c r="BC224" s="119"/>
      <c r="BD224" s="121"/>
      <c r="BE224" s="121"/>
      <c r="BF224" s="121"/>
      <c r="BG224" s="121"/>
      <c r="BH224" s="121"/>
      <c r="BI224" s="121"/>
      <c r="BJ224" s="121"/>
      <c r="BK224" s="121"/>
      <c r="BL224" s="121"/>
      <c r="BM224" s="121"/>
      <c r="BN224" s="121"/>
    </row>
    <row r="793" spans="58:71" x14ac:dyDescent="0.2">
      <c r="BF793" s="121"/>
      <c r="BG793" s="121"/>
      <c r="BH793" s="121"/>
      <c r="BI793" s="121"/>
      <c r="BJ793" s="121"/>
      <c r="BK793" s="121"/>
      <c r="BL793" s="121"/>
      <c r="BM793" s="121"/>
      <c r="BN793" s="121"/>
      <c r="BO793" s="2"/>
      <c r="BP793" s="2"/>
      <c r="BQ793" s="2"/>
      <c r="BR793" s="2"/>
      <c r="BS793" s="2"/>
    </row>
    <row r="794" spans="58:71" x14ac:dyDescent="0.2">
      <c r="BF794" s="121"/>
      <c r="BG794" s="121"/>
      <c r="BH794" s="121"/>
      <c r="BI794" s="121"/>
      <c r="BJ794" s="121"/>
      <c r="BK794" s="121"/>
      <c r="BL794" s="121"/>
      <c r="BM794" s="121"/>
      <c r="BN794" s="121"/>
      <c r="BO794" s="2"/>
      <c r="BP794" s="2"/>
      <c r="BQ794" s="2"/>
      <c r="BR794" s="2"/>
      <c r="BS794" s="2"/>
    </row>
    <row r="795" spans="58:71" x14ac:dyDescent="0.2">
      <c r="BF795" s="121"/>
      <c r="BG795" s="121"/>
      <c r="BH795" s="121"/>
      <c r="BI795" s="121"/>
      <c r="BJ795" s="121"/>
      <c r="BK795" s="121"/>
      <c r="BL795" s="121"/>
      <c r="BM795" s="121"/>
      <c r="BN795" s="121"/>
      <c r="BO795" s="2"/>
      <c r="BP795" s="2"/>
      <c r="BQ795" s="2"/>
      <c r="BR795" s="2"/>
      <c r="BS795" s="2"/>
    </row>
    <row r="796" spans="58:71" x14ac:dyDescent="0.2">
      <c r="BF796" s="121"/>
      <c r="BG796" s="121"/>
      <c r="BH796" s="121"/>
      <c r="BI796" s="121"/>
      <c r="BJ796" s="121"/>
      <c r="BK796" s="121"/>
      <c r="BL796" s="121"/>
      <c r="BM796" s="121"/>
      <c r="BN796" s="121"/>
      <c r="BO796" s="2"/>
      <c r="BP796" s="2"/>
      <c r="BQ796" s="2"/>
      <c r="BR796" s="2"/>
      <c r="BS796" s="2"/>
    </row>
    <row r="797" spans="58:71" ht="19" x14ac:dyDescent="0.25">
      <c r="BF797" s="121"/>
      <c r="BG797" s="121"/>
      <c r="BH797" s="121"/>
      <c r="BI797" s="64"/>
      <c r="BJ797" s="121"/>
      <c r="BK797" s="123"/>
      <c r="BL797" s="121"/>
      <c r="BM797" s="121"/>
      <c r="BN797" s="121"/>
      <c r="BO797" s="2"/>
      <c r="BP797" s="2"/>
      <c r="BQ797" s="2"/>
      <c r="BR797" s="2"/>
      <c r="BS797" s="2"/>
    </row>
    <row r="798" spans="58:71" ht="19" x14ac:dyDescent="0.25">
      <c r="BF798" s="121"/>
      <c r="BG798" s="121"/>
      <c r="BH798" s="122"/>
      <c r="BI798" s="113"/>
      <c r="BJ798" s="122"/>
      <c r="BK798" s="124"/>
      <c r="BL798" s="122"/>
      <c r="BM798" s="122"/>
      <c r="BN798" s="122"/>
      <c r="BO798" s="101"/>
      <c r="BP798" s="101"/>
      <c r="BQ798" s="101"/>
      <c r="BR798" s="2"/>
      <c r="BS798" s="2"/>
    </row>
    <row r="799" spans="58:71" ht="19" x14ac:dyDescent="0.25">
      <c r="BF799" s="121"/>
      <c r="BG799" s="121"/>
      <c r="BH799" s="122"/>
      <c r="BI799" s="113"/>
      <c r="BJ799" s="122"/>
      <c r="BK799" s="124"/>
      <c r="BL799" s="122"/>
      <c r="BM799" s="122"/>
      <c r="BN799" s="122"/>
      <c r="BO799" s="101"/>
      <c r="BP799" s="101"/>
      <c r="BQ799" s="101"/>
      <c r="BR799" s="2"/>
      <c r="BS799" s="2"/>
    </row>
    <row r="800" spans="58:71" ht="19" x14ac:dyDescent="0.25">
      <c r="BF800" s="121"/>
      <c r="BG800" s="121"/>
      <c r="BH800" s="122"/>
      <c r="BI800" s="113"/>
      <c r="BJ800" s="122"/>
      <c r="BK800" s="124"/>
      <c r="BL800" s="122"/>
      <c r="BM800" s="122"/>
      <c r="BN800" s="122"/>
      <c r="BO800" s="101"/>
      <c r="BP800" s="101"/>
      <c r="BQ800" s="101"/>
      <c r="BR800" s="2"/>
      <c r="BS800" s="2"/>
    </row>
    <row r="801" spans="58:71" ht="19" x14ac:dyDescent="0.25">
      <c r="BF801" s="121"/>
      <c r="BG801" s="121"/>
      <c r="BH801" s="122"/>
      <c r="BI801" s="114"/>
      <c r="BJ801" s="122"/>
      <c r="BK801" s="124"/>
      <c r="BL801" s="122"/>
      <c r="BM801" s="122"/>
      <c r="BN801" s="122"/>
      <c r="BO801" s="101"/>
      <c r="BP801" s="101"/>
      <c r="BQ801" s="101"/>
      <c r="BR801" s="2"/>
      <c r="BS801" s="2"/>
    </row>
    <row r="802" spans="58:71" ht="19" x14ac:dyDescent="0.25">
      <c r="BF802" s="121"/>
      <c r="BG802" s="121"/>
      <c r="BH802" s="122"/>
      <c r="BI802" s="114"/>
      <c r="BJ802" s="122"/>
      <c r="BK802" s="124"/>
      <c r="BL802" s="122"/>
      <c r="BM802" s="122"/>
      <c r="BN802" s="122"/>
      <c r="BO802" s="101"/>
      <c r="BP802" s="101"/>
      <c r="BQ802" s="101"/>
      <c r="BR802" s="2"/>
      <c r="BS802" s="2"/>
    </row>
    <row r="803" spans="58:71" ht="19" x14ac:dyDescent="0.25">
      <c r="BF803" s="121"/>
      <c r="BG803" s="121"/>
      <c r="BH803" s="122"/>
      <c r="BI803" s="113"/>
      <c r="BJ803" s="122"/>
      <c r="BK803" s="124"/>
      <c r="BL803" s="122"/>
      <c r="BM803" s="122"/>
      <c r="BN803" s="122"/>
      <c r="BO803" s="101"/>
      <c r="BP803" s="101"/>
      <c r="BQ803" s="101"/>
      <c r="BR803" s="2"/>
      <c r="BS803" s="2"/>
    </row>
    <row r="804" spans="58:71" ht="19" x14ac:dyDescent="0.25">
      <c r="BF804" s="121"/>
      <c r="BG804" s="121"/>
      <c r="BH804" s="122"/>
      <c r="BI804" s="114"/>
      <c r="BJ804" s="122"/>
      <c r="BK804" s="124"/>
      <c r="BL804" s="122"/>
      <c r="BM804" s="122"/>
      <c r="BN804" s="122"/>
      <c r="BO804" s="101"/>
      <c r="BP804" s="101"/>
      <c r="BQ804" s="101"/>
      <c r="BR804" s="2"/>
      <c r="BS804" s="2"/>
    </row>
    <row r="805" spans="58:71" ht="19" x14ac:dyDescent="0.25">
      <c r="BF805" s="121"/>
      <c r="BG805" s="121"/>
      <c r="BH805" s="122"/>
      <c r="BI805" s="113"/>
      <c r="BJ805" s="122"/>
      <c r="BK805" s="124"/>
      <c r="BL805" s="122"/>
      <c r="BM805" s="122"/>
      <c r="BN805" s="122"/>
      <c r="BO805" s="101"/>
      <c r="BP805" s="101"/>
      <c r="BQ805" s="101"/>
      <c r="BR805" s="2"/>
      <c r="BS805" s="2"/>
    </row>
    <row r="806" spans="58:71" ht="19" x14ac:dyDescent="0.25">
      <c r="BF806" s="121"/>
      <c r="BG806" s="121"/>
      <c r="BH806" s="122"/>
      <c r="BI806" s="113"/>
      <c r="BJ806" s="122"/>
      <c r="BK806" s="124"/>
      <c r="BL806" s="122"/>
      <c r="BM806" s="122"/>
      <c r="BN806" s="122"/>
      <c r="BO806" s="101"/>
      <c r="BP806" s="101"/>
      <c r="BQ806" s="101"/>
      <c r="BR806" s="2"/>
      <c r="BS806" s="2"/>
    </row>
    <row r="807" spans="58:71" ht="19" x14ac:dyDescent="0.25">
      <c r="BF807" s="121"/>
      <c r="BG807" s="121"/>
      <c r="BH807" s="122"/>
      <c r="BI807" s="114"/>
      <c r="BJ807" s="103"/>
      <c r="BK807" s="124"/>
      <c r="BL807" s="113"/>
      <c r="BM807" s="122"/>
      <c r="BN807" s="122"/>
      <c r="BO807" s="101"/>
      <c r="BP807" s="101"/>
      <c r="BQ807" s="101"/>
      <c r="BR807" s="2"/>
      <c r="BS807" s="2"/>
    </row>
    <row r="808" spans="58:71" ht="19" x14ac:dyDescent="0.25">
      <c r="BF808" s="121"/>
      <c r="BG808" s="121"/>
      <c r="BH808" s="122"/>
      <c r="BI808" s="113"/>
      <c r="BJ808" s="103"/>
      <c r="BK808" s="124"/>
      <c r="BL808" s="113"/>
      <c r="BM808" s="122"/>
      <c r="BN808" s="122"/>
      <c r="BO808" s="101"/>
      <c r="BP808" s="101"/>
      <c r="BQ808" s="101"/>
      <c r="BR808" s="2"/>
      <c r="BS808" s="2"/>
    </row>
    <row r="809" spans="58:71" ht="19" x14ac:dyDescent="0.25">
      <c r="BF809" s="121"/>
      <c r="BG809" s="121"/>
      <c r="BH809" s="122"/>
      <c r="BI809" s="113"/>
      <c r="BJ809" s="103"/>
      <c r="BK809" s="124"/>
      <c r="BL809" s="113"/>
      <c r="BM809" s="122"/>
      <c r="BN809" s="122"/>
      <c r="BO809" s="101"/>
      <c r="BP809" s="101"/>
      <c r="BQ809" s="101"/>
      <c r="BR809" s="2"/>
      <c r="BS809" s="2"/>
    </row>
    <row r="810" spans="58:71" ht="19" x14ac:dyDescent="0.25">
      <c r="BF810" s="121"/>
      <c r="BG810" s="121"/>
      <c r="BH810" s="122"/>
      <c r="BI810" s="114"/>
      <c r="BJ810" s="103"/>
      <c r="BK810" s="124"/>
      <c r="BL810" s="113"/>
      <c r="BM810" s="122"/>
      <c r="BN810" s="122"/>
      <c r="BO810" s="101"/>
      <c r="BP810" s="101"/>
      <c r="BQ810" s="101"/>
      <c r="BR810" s="2"/>
      <c r="BS810" s="2"/>
    </row>
    <row r="811" spans="58:71" ht="19" x14ac:dyDescent="0.25">
      <c r="BF811" s="121"/>
      <c r="BG811" s="121"/>
      <c r="BH811" s="122"/>
      <c r="BI811" s="113"/>
      <c r="BJ811" s="103"/>
      <c r="BK811" s="124"/>
      <c r="BL811" s="113"/>
      <c r="BM811" s="122"/>
      <c r="BN811" s="122"/>
      <c r="BO811" s="101"/>
      <c r="BP811" s="101"/>
      <c r="BQ811" s="101"/>
      <c r="BR811" s="2"/>
      <c r="BS811" s="2"/>
    </row>
    <row r="812" spans="58:71" ht="19" x14ac:dyDescent="0.25">
      <c r="BF812" s="121"/>
      <c r="BG812" s="121"/>
      <c r="BH812" s="122"/>
      <c r="BI812" s="122"/>
      <c r="BJ812" s="103"/>
      <c r="BK812" s="122"/>
      <c r="BL812" s="113"/>
      <c r="BM812" s="122"/>
      <c r="BN812" s="122"/>
      <c r="BO812" s="101"/>
      <c r="BP812" s="101"/>
      <c r="BQ812" s="101"/>
      <c r="BR812" s="2"/>
      <c r="BS812" s="2"/>
    </row>
    <row r="813" spans="58:71" ht="19" x14ac:dyDescent="0.25">
      <c r="BF813" s="121"/>
      <c r="BG813" s="121"/>
      <c r="BH813" s="122"/>
      <c r="BI813" s="122"/>
      <c r="BJ813" s="103"/>
      <c r="BK813" s="122"/>
      <c r="BL813" s="113"/>
      <c r="BM813" s="122"/>
      <c r="BN813" s="122"/>
      <c r="BO813" s="101"/>
      <c r="BP813" s="101"/>
      <c r="BQ813" s="101"/>
      <c r="BR813" s="2"/>
      <c r="BS813" s="2"/>
    </row>
    <row r="814" spans="58:71" ht="19" x14ac:dyDescent="0.25">
      <c r="BF814" s="121"/>
      <c r="BG814" s="121"/>
      <c r="BH814" s="122"/>
      <c r="BI814" s="122"/>
      <c r="BJ814" s="103"/>
      <c r="BK814" s="122"/>
      <c r="BL814" s="113"/>
      <c r="BM814" s="122"/>
      <c r="BN814" s="122"/>
      <c r="BO814" s="101"/>
      <c r="BP814" s="101"/>
      <c r="BQ814" s="101"/>
      <c r="BR814" s="2"/>
      <c r="BS814" s="2"/>
    </row>
    <row r="815" spans="58:71" ht="19" x14ac:dyDescent="0.25">
      <c r="BF815" s="121"/>
      <c r="BG815" s="121"/>
      <c r="BH815" s="122"/>
      <c r="BI815" s="122"/>
      <c r="BJ815" s="103"/>
      <c r="BK815" s="122"/>
      <c r="BL815" s="113"/>
      <c r="BM815" s="122"/>
      <c r="BN815" s="122"/>
      <c r="BO815" s="101"/>
      <c r="BP815" s="101"/>
      <c r="BQ815" s="101"/>
      <c r="BR815" s="2"/>
      <c r="BS815" s="2"/>
    </row>
    <row r="816" spans="58:71" ht="19" x14ac:dyDescent="0.25">
      <c r="BF816" s="121"/>
      <c r="BG816" s="121"/>
      <c r="BH816" s="122"/>
      <c r="BI816" s="122"/>
      <c r="BJ816" s="103"/>
      <c r="BK816" s="122"/>
      <c r="BL816" s="113"/>
      <c r="BM816" s="122"/>
      <c r="BN816" s="122"/>
      <c r="BO816" s="101"/>
      <c r="BP816" s="101"/>
      <c r="BQ816" s="101"/>
      <c r="BR816" s="2"/>
      <c r="BS816" s="2"/>
    </row>
    <row r="817" spans="58:71" ht="19" x14ac:dyDescent="0.25">
      <c r="BF817" s="121"/>
      <c r="BG817" s="121"/>
      <c r="BH817" s="122"/>
      <c r="BI817" s="122"/>
      <c r="BJ817" s="103"/>
      <c r="BK817" s="122"/>
      <c r="BL817" s="113"/>
      <c r="BM817" s="122"/>
      <c r="BN817" s="122"/>
      <c r="BO817" s="101"/>
      <c r="BP817" s="101"/>
      <c r="BQ817" s="101"/>
      <c r="BR817" s="2"/>
      <c r="BS817" s="2"/>
    </row>
    <row r="818" spans="58:71" ht="19" x14ac:dyDescent="0.25">
      <c r="BF818" s="121"/>
      <c r="BG818" s="121"/>
      <c r="BH818" s="122"/>
      <c r="BI818" s="122"/>
      <c r="BJ818" s="103"/>
      <c r="BK818" s="122"/>
      <c r="BL818" s="113"/>
      <c r="BM818" s="122"/>
      <c r="BN818" s="122"/>
      <c r="BO818" s="101"/>
      <c r="BP818" s="101"/>
      <c r="BQ818" s="101"/>
      <c r="BR818" s="2"/>
      <c r="BS818" s="2"/>
    </row>
    <row r="819" spans="58:71" ht="19" x14ac:dyDescent="0.25">
      <c r="BF819" s="121"/>
      <c r="BG819" s="121"/>
      <c r="BH819" s="122"/>
      <c r="BI819" s="122"/>
      <c r="BJ819" s="103"/>
      <c r="BK819" s="122"/>
      <c r="BL819" s="113"/>
      <c r="BM819" s="122"/>
      <c r="BN819" s="122"/>
      <c r="BO819" s="101"/>
      <c r="BP819" s="101"/>
      <c r="BQ819" s="101"/>
      <c r="BR819" s="2"/>
      <c r="BS819" s="2"/>
    </row>
    <row r="820" spans="58:71" ht="19" x14ac:dyDescent="0.25">
      <c r="BF820" s="121"/>
      <c r="BG820" s="121"/>
      <c r="BH820" s="122"/>
      <c r="BI820" s="122"/>
      <c r="BJ820" s="103"/>
      <c r="BK820" s="122"/>
      <c r="BL820" s="113"/>
      <c r="BM820" s="122"/>
      <c r="BN820" s="122"/>
      <c r="BO820" s="101"/>
      <c r="BP820" s="101"/>
      <c r="BQ820" s="101"/>
      <c r="BR820" s="2"/>
      <c r="BS820" s="2"/>
    </row>
    <row r="821" spans="58:71" ht="19" x14ac:dyDescent="0.25">
      <c r="BF821" s="121"/>
      <c r="BG821" s="121"/>
      <c r="BH821" s="122"/>
      <c r="BI821" s="122"/>
      <c r="BJ821" s="103"/>
      <c r="BK821" s="122"/>
      <c r="BL821" s="113"/>
      <c r="BM821" s="122"/>
      <c r="BN821" s="122"/>
      <c r="BO821" s="101"/>
      <c r="BP821" s="101"/>
      <c r="BQ821" s="101"/>
      <c r="BR821" s="2"/>
      <c r="BS821" s="2"/>
    </row>
    <row r="822" spans="58:71" ht="19" x14ac:dyDescent="0.25">
      <c r="BF822" s="121"/>
      <c r="BG822" s="121"/>
      <c r="BH822" s="122"/>
      <c r="BI822" s="122"/>
      <c r="BJ822" s="103"/>
      <c r="BK822" s="122"/>
      <c r="BL822" s="122"/>
      <c r="BM822" s="122"/>
      <c r="BN822" s="122"/>
      <c r="BO822" s="101"/>
      <c r="BP822" s="101"/>
      <c r="BQ822" s="101"/>
      <c r="BR822" s="2"/>
      <c r="BS822" s="2"/>
    </row>
    <row r="823" spans="58:71" x14ac:dyDescent="0.2">
      <c r="BF823" s="121"/>
      <c r="BG823" s="121"/>
      <c r="BH823" s="122"/>
      <c r="BI823" s="122"/>
      <c r="BJ823" s="122"/>
      <c r="BK823" s="122"/>
      <c r="BL823" s="122"/>
      <c r="BM823" s="122"/>
      <c r="BN823" s="122"/>
      <c r="BO823" s="101"/>
      <c r="BP823" s="101"/>
      <c r="BQ823" s="101"/>
      <c r="BR823" s="2"/>
      <c r="BS823" s="2"/>
    </row>
    <row r="824" spans="58:71" x14ac:dyDescent="0.2">
      <c r="BF824" s="121"/>
      <c r="BG824" s="121"/>
      <c r="BH824" s="122"/>
      <c r="BI824" s="122"/>
      <c r="BJ824" s="122"/>
      <c r="BK824" s="122"/>
      <c r="BL824" s="122"/>
      <c r="BM824" s="122"/>
      <c r="BN824" s="122"/>
      <c r="BO824" s="101"/>
      <c r="BP824" s="101"/>
      <c r="BQ824" s="101"/>
      <c r="BR824" s="2"/>
      <c r="BS824" s="2"/>
    </row>
    <row r="825" spans="58:71" x14ac:dyDescent="0.2">
      <c r="BF825" s="121"/>
      <c r="BG825" s="121"/>
      <c r="BH825" s="122"/>
      <c r="BI825" s="122"/>
      <c r="BJ825" s="122"/>
      <c r="BK825" s="122"/>
      <c r="BL825" s="122"/>
      <c r="BM825" s="122"/>
      <c r="BN825" s="122"/>
      <c r="BO825" s="101"/>
      <c r="BP825" s="101"/>
      <c r="BQ825" s="101"/>
      <c r="BR825" s="2"/>
      <c r="BS825" s="2"/>
    </row>
    <row r="826" spans="58:71" x14ac:dyDescent="0.2">
      <c r="BF826" s="121"/>
      <c r="BG826" s="121"/>
      <c r="BH826" s="122"/>
      <c r="BI826" s="122"/>
      <c r="BJ826" s="122"/>
      <c r="BK826" s="122"/>
      <c r="BL826" s="122"/>
      <c r="BM826" s="122"/>
      <c r="BN826" s="122"/>
      <c r="BO826" s="101"/>
      <c r="BP826" s="101"/>
      <c r="BQ826" s="101"/>
      <c r="BR826" s="2"/>
      <c r="BS826" s="2"/>
    </row>
  </sheetData>
  <mergeCells count="2317">
    <mergeCell ref="AN1:BA1"/>
    <mergeCell ref="AF57:AF58"/>
    <mergeCell ref="U51:U52"/>
    <mergeCell ref="AB51:AB52"/>
    <mergeCell ref="AA51:AA52"/>
    <mergeCell ref="AH51:AH52"/>
    <mergeCell ref="X51:X52"/>
    <mergeCell ref="Y51:Y52"/>
    <mergeCell ref="Z51:Z52"/>
    <mergeCell ref="W39:W40"/>
    <mergeCell ref="AI99:AI100"/>
    <mergeCell ref="AI102:AI103"/>
    <mergeCell ref="AI105:AI106"/>
    <mergeCell ref="AI108:AI109"/>
    <mergeCell ref="AI69:AI70"/>
    <mergeCell ref="AI72:AI73"/>
    <mergeCell ref="AI75:AI76"/>
    <mergeCell ref="AI78:AI79"/>
    <mergeCell ref="AI81:AI82"/>
    <mergeCell ref="AI84:AI85"/>
    <mergeCell ref="AI87:AI88"/>
    <mergeCell ref="AI90:AI91"/>
    <mergeCell ref="AI93:AI94"/>
    <mergeCell ref="AC108:AC109"/>
    <mergeCell ref="AD108:AD109"/>
    <mergeCell ref="AE108:AE109"/>
    <mergeCell ref="AF108:AF109"/>
    <mergeCell ref="AG108:AG109"/>
    <mergeCell ref="AH108:AH109"/>
    <mergeCell ref="AC99:AC100"/>
    <mergeCell ref="AD99:AD100"/>
    <mergeCell ref="AE99:AE100"/>
    <mergeCell ref="AF99:AF100"/>
    <mergeCell ref="AG99:AG100"/>
    <mergeCell ref="AH99:AH100"/>
    <mergeCell ref="AC87:AC88"/>
    <mergeCell ref="AD87:AD88"/>
    <mergeCell ref="AE87:AE88"/>
    <mergeCell ref="AF87:AF88"/>
    <mergeCell ref="AG87:AG88"/>
    <mergeCell ref="AH87:AH88"/>
    <mergeCell ref="AC75:AC76"/>
    <mergeCell ref="AI18:AI19"/>
    <mergeCell ref="AI21:AI22"/>
    <mergeCell ref="AI24:AI25"/>
    <mergeCell ref="AI27:AI28"/>
    <mergeCell ref="AI30:AI31"/>
    <mergeCell ref="AI33:AI34"/>
    <mergeCell ref="AI36:AI37"/>
    <mergeCell ref="AI39:AI40"/>
    <mergeCell ref="AI42:AI43"/>
    <mergeCell ref="AI45:AI46"/>
    <mergeCell ref="AI48:AI49"/>
    <mergeCell ref="AI51:AI52"/>
    <mergeCell ref="AI54:AI55"/>
    <mergeCell ref="AI57:AI58"/>
    <mergeCell ref="AI60:AI61"/>
    <mergeCell ref="AI63:AI64"/>
    <mergeCell ref="AI96:AI97"/>
    <mergeCell ref="AI66:AI67"/>
    <mergeCell ref="AD75:AD76"/>
    <mergeCell ref="AE75:AE76"/>
    <mergeCell ref="AF75:AF76"/>
    <mergeCell ref="AG75:AG76"/>
    <mergeCell ref="AH75:AH76"/>
    <mergeCell ref="Y108:Y109"/>
    <mergeCell ref="Z108:Z109"/>
    <mergeCell ref="AA108:AA109"/>
    <mergeCell ref="AB108:AB109"/>
    <mergeCell ref="AC105:AC106"/>
    <mergeCell ref="AD105:AD106"/>
    <mergeCell ref="AE105:AE106"/>
    <mergeCell ref="AF105:AF106"/>
    <mergeCell ref="AG105:AG106"/>
    <mergeCell ref="AH105:AH106"/>
    <mergeCell ref="A108:A110"/>
    <mergeCell ref="B108:B110"/>
    <mergeCell ref="D108:D109"/>
    <mergeCell ref="E108:E109"/>
    <mergeCell ref="F108:F109"/>
    <mergeCell ref="G108:G109"/>
    <mergeCell ref="H108:H109"/>
    <mergeCell ref="I108:I109"/>
    <mergeCell ref="J108:J109"/>
    <mergeCell ref="K108:K109"/>
    <mergeCell ref="L108:L109"/>
    <mergeCell ref="M108:M109"/>
    <mergeCell ref="N108:N109"/>
    <mergeCell ref="O108:O109"/>
    <mergeCell ref="P108:P109"/>
    <mergeCell ref="Q108:Q109"/>
    <mergeCell ref="R108:R109"/>
    <mergeCell ref="S108:S109"/>
    <mergeCell ref="T105:T106"/>
    <mergeCell ref="U105:U106"/>
    <mergeCell ref="V105:V106"/>
    <mergeCell ref="W105:W106"/>
    <mergeCell ref="Y105:Y106"/>
    <mergeCell ref="Z105:Z106"/>
    <mergeCell ref="AA105:AA106"/>
    <mergeCell ref="AB105:AB106"/>
    <mergeCell ref="AC102:AC103"/>
    <mergeCell ref="AD102:AD103"/>
    <mergeCell ref="AE102:AE103"/>
    <mergeCell ref="AF102:AF103"/>
    <mergeCell ref="AG102:AG103"/>
    <mergeCell ref="AH102:AH103"/>
    <mergeCell ref="S105:S106"/>
    <mergeCell ref="T102:T103"/>
    <mergeCell ref="U102:U103"/>
    <mergeCell ref="V102:V103"/>
    <mergeCell ref="W102:W103"/>
    <mergeCell ref="X102:X103"/>
    <mergeCell ref="Y102:Y103"/>
    <mergeCell ref="Z102:Z103"/>
    <mergeCell ref="AA102:AA103"/>
    <mergeCell ref="AB102:AB103"/>
    <mergeCell ref="S102:S103"/>
    <mergeCell ref="T108:T109"/>
    <mergeCell ref="U108:U109"/>
    <mergeCell ref="V108:V109"/>
    <mergeCell ref="W108:W109"/>
    <mergeCell ref="X108:X109"/>
    <mergeCell ref="A105:A107"/>
    <mergeCell ref="B105:B107"/>
    <mergeCell ref="D105:D106"/>
    <mergeCell ref="E105:E106"/>
    <mergeCell ref="F105:F106"/>
    <mergeCell ref="G105:G106"/>
    <mergeCell ref="H105:H106"/>
    <mergeCell ref="I105:I106"/>
    <mergeCell ref="J105:J106"/>
    <mergeCell ref="K105:K106"/>
    <mergeCell ref="L105:L106"/>
    <mergeCell ref="M105:M106"/>
    <mergeCell ref="N105:N106"/>
    <mergeCell ref="O105:O106"/>
    <mergeCell ref="P105:P106"/>
    <mergeCell ref="Q105:Q106"/>
    <mergeCell ref="R105:R106"/>
    <mergeCell ref="X105:X106"/>
    <mergeCell ref="A102:A104"/>
    <mergeCell ref="B102:B104"/>
    <mergeCell ref="D102:D103"/>
    <mergeCell ref="E102:E103"/>
    <mergeCell ref="F102:F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Q102:Q103"/>
    <mergeCell ref="R102:R103"/>
    <mergeCell ref="T99:T100"/>
    <mergeCell ref="U99:U100"/>
    <mergeCell ref="V99:V100"/>
    <mergeCell ref="W99:W100"/>
    <mergeCell ref="X99:X100"/>
    <mergeCell ref="Y99:Y100"/>
    <mergeCell ref="Z99:Z100"/>
    <mergeCell ref="AA99:AA100"/>
    <mergeCell ref="AB99:AB100"/>
    <mergeCell ref="AC96:AC97"/>
    <mergeCell ref="AD96:AD97"/>
    <mergeCell ref="AE96:AE97"/>
    <mergeCell ref="AF96:AF97"/>
    <mergeCell ref="AG96:AG97"/>
    <mergeCell ref="AH96:AH97"/>
    <mergeCell ref="A99:A101"/>
    <mergeCell ref="B99:B101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Q99:Q100"/>
    <mergeCell ref="R99:R100"/>
    <mergeCell ref="S99:S100"/>
    <mergeCell ref="T96:T97"/>
    <mergeCell ref="U96:U97"/>
    <mergeCell ref="V96:V97"/>
    <mergeCell ref="W96:W97"/>
    <mergeCell ref="X96:X97"/>
    <mergeCell ref="Y96:Y97"/>
    <mergeCell ref="Z96:Z97"/>
    <mergeCell ref="AA96:AA97"/>
    <mergeCell ref="AB96:AB97"/>
    <mergeCell ref="AC93:AC94"/>
    <mergeCell ref="AD93:AD94"/>
    <mergeCell ref="AE93:AE94"/>
    <mergeCell ref="AF93:AF94"/>
    <mergeCell ref="AG93:AG94"/>
    <mergeCell ref="AH93:AH94"/>
    <mergeCell ref="A96:A98"/>
    <mergeCell ref="B96:B98"/>
    <mergeCell ref="D96:D97"/>
    <mergeCell ref="E96:E97"/>
    <mergeCell ref="F96:F97"/>
    <mergeCell ref="G96:G97"/>
    <mergeCell ref="H96:H97"/>
    <mergeCell ref="I96:I97"/>
    <mergeCell ref="J96:J97"/>
    <mergeCell ref="K96:K97"/>
    <mergeCell ref="L96:L97"/>
    <mergeCell ref="M96:M97"/>
    <mergeCell ref="N96:N97"/>
    <mergeCell ref="O96:O97"/>
    <mergeCell ref="P96:P97"/>
    <mergeCell ref="Q96:Q97"/>
    <mergeCell ref="R96:R97"/>
    <mergeCell ref="S96:S97"/>
    <mergeCell ref="T93:T94"/>
    <mergeCell ref="U93:U94"/>
    <mergeCell ref="V93:V94"/>
    <mergeCell ref="W93:W94"/>
    <mergeCell ref="X93:X94"/>
    <mergeCell ref="Y93:Y94"/>
    <mergeCell ref="Z93:Z94"/>
    <mergeCell ref="AA93:AA94"/>
    <mergeCell ref="AB93:AB94"/>
    <mergeCell ref="AC90:AC91"/>
    <mergeCell ref="AD90:AD91"/>
    <mergeCell ref="AE90:AE91"/>
    <mergeCell ref="AF90:AF91"/>
    <mergeCell ref="AG90:AG91"/>
    <mergeCell ref="AH90:AH91"/>
    <mergeCell ref="S93:S94"/>
    <mergeCell ref="T90:T91"/>
    <mergeCell ref="U90:U91"/>
    <mergeCell ref="V90:V91"/>
    <mergeCell ref="W90:W91"/>
    <mergeCell ref="X90:X91"/>
    <mergeCell ref="Y90:Y91"/>
    <mergeCell ref="Z90:Z91"/>
    <mergeCell ref="AA90:AA91"/>
    <mergeCell ref="AB90:AB91"/>
    <mergeCell ref="S90:S91"/>
    <mergeCell ref="A93:A95"/>
    <mergeCell ref="B93:B95"/>
    <mergeCell ref="D93:D94"/>
    <mergeCell ref="E93:E94"/>
    <mergeCell ref="F93:F94"/>
    <mergeCell ref="G93:G94"/>
    <mergeCell ref="H93:H94"/>
    <mergeCell ref="I93:I94"/>
    <mergeCell ref="J93:J94"/>
    <mergeCell ref="K93:K94"/>
    <mergeCell ref="L93:L94"/>
    <mergeCell ref="M93:M94"/>
    <mergeCell ref="N93:N94"/>
    <mergeCell ref="O93:O94"/>
    <mergeCell ref="P93:P94"/>
    <mergeCell ref="Q93:Q94"/>
    <mergeCell ref="R93:R94"/>
    <mergeCell ref="A90:A92"/>
    <mergeCell ref="B90:B92"/>
    <mergeCell ref="D90:D91"/>
    <mergeCell ref="E90:E91"/>
    <mergeCell ref="F90:F91"/>
    <mergeCell ref="G90:G91"/>
    <mergeCell ref="H90:H91"/>
    <mergeCell ref="I90:I91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T87:T88"/>
    <mergeCell ref="U87:U88"/>
    <mergeCell ref="V87:V88"/>
    <mergeCell ref="W87:W88"/>
    <mergeCell ref="X87:X88"/>
    <mergeCell ref="Y87:Y88"/>
    <mergeCell ref="Z87:Z88"/>
    <mergeCell ref="AA87:AA88"/>
    <mergeCell ref="AB87:AB88"/>
    <mergeCell ref="AC84:AC85"/>
    <mergeCell ref="AD84:AD85"/>
    <mergeCell ref="AE84:AE85"/>
    <mergeCell ref="AF84:AF85"/>
    <mergeCell ref="AG84:AG85"/>
    <mergeCell ref="AH84:AH85"/>
    <mergeCell ref="A87:A89"/>
    <mergeCell ref="B87:B89"/>
    <mergeCell ref="D87:D88"/>
    <mergeCell ref="E87:E88"/>
    <mergeCell ref="F87:F88"/>
    <mergeCell ref="G87:G88"/>
    <mergeCell ref="H87:H88"/>
    <mergeCell ref="I87:I88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S87:S88"/>
    <mergeCell ref="T84:T85"/>
    <mergeCell ref="U84:U85"/>
    <mergeCell ref="V84:V85"/>
    <mergeCell ref="W84:W85"/>
    <mergeCell ref="X84:X85"/>
    <mergeCell ref="Y84:Y85"/>
    <mergeCell ref="Z84:Z85"/>
    <mergeCell ref="AA84:AA85"/>
    <mergeCell ref="AB84:AB85"/>
    <mergeCell ref="AC81:AC82"/>
    <mergeCell ref="AD81:AD82"/>
    <mergeCell ref="AE81:AE82"/>
    <mergeCell ref="AF81:AF82"/>
    <mergeCell ref="AG81:AG82"/>
    <mergeCell ref="AH81:AH82"/>
    <mergeCell ref="A84:A86"/>
    <mergeCell ref="B84:B86"/>
    <mergeCell ref="D84:D85"/>
    <mergeCell ref="E84:E85"/>
    <mergeCell ref="F84:F85"/>
    <mergeCell ref="G84:G85"/>
    <mergeCell ref="H84:H85"/>
    <mergeCell ref="I84:I85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S84:S85"/>
    <mergeCell ref="T81:T82"/>
    <mergeCell ref="U81:U82"/>
    <mergeCell ref="V81:V82"/>
    <mergeCell ref="W81:W82"/>
    <mergeCell ref="X81:X82"/>
    <mergeCell ref="Y81:Y82"/>
    <mergeCell ref="Z81:Z82"/>
    <mergeCell ref="AA81:AA82"/>
    <mergeCell ref="AB81:AB82"/>
    <mergeCell ref="AC78:AC79"/>
    <mergeCell ref="AD78:AD79"/>
    <mergeCell ref="AE78:AE79"/>
    <mergeCell ref="AF78:AF79"/>
    <mergeCell ref="AG78:AG79"/>
    <mergeCell ref="AH78:AH79"/>
    <mergeCell ref="S81:S82"/>
    <mergeCell ref="T78:T79"/>
    <mergeCell ref="U78:U79"/>
    <mergeCell ref="V78:V79"/>
    <mergeCell ref="W78:W79"/>
    <mergeCell ref="X78:X79"/>
    <mergeCell ref="Y78:Y79"/>
    <mergeCell ref="Z78:Z79"/>
    <mergeCell ref="AA78:AA79"/>
    <mergeCell ref="AB78:AB79"/>
    <mergeCell ref="S78:S79"/>
    <mergeCell ref="A81:A83"/>
    <mergeCell ref="B81:B83"/>
    <mergeCell ref="D81:D82"/>
    <mergeCell ref="E81:E82"/>
    <mergeCell ref="F81:F82"/>
    <mergeCell ref="G81:G82"/>
    <mergeCell ref="H81:H82"/>
    <mergeCell ref="I81:I82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A78:A80"/>
    <mergeCell ref="B78:B8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T75:T76"/>
    <mergeCell ref="U75:U76"/>
    <mergeCell ref="V75:V76"/>
    <mergeCell ref="W75:W76"/>
    <mergeCell ref="X75:X76"/>
    <mergeCell ref="Y75:Y76"/>
    <mergeCell ref="Z75:Z76"/>
    <mergeCell ref="AA75:AA76"/>
    <mergeCell ref="AB75:AB76"/>
    <mergeCell ref="AC72:AC73"/>
    <mergeCell ref="AD72:AD73"/>
    <mergeCell ref="AE72:AE73"/>
    <mergeCell ref="AF72:AF73"/>
    <mergeCell ref="AG72:AG73"/>
    <mergeCell ref="AH72:AH73"/>
    <mergeCell ref="A75:A77"/>
    <mergeCell ref="B75:B77"/>
    <mergeCell ref="D75:D76"/>
    <mergeCell ref="E75:E76"/>
    <mergeCell ref="F75:F76"/>
    <mergeCell ref="G75:G76"/>
    <mergeCell ref="H75:H76"/>
    <mergeCell ref="I75:I76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S75:S76"/>
    <mergeCell ref="T72:T73"/>
    <mergeCell ref="U72:U73"/>
    <mergeCell ref="V72:V73"/>
    <mergeCell ref="W72:W73"/>
    <mergeCell ref="X72:X73"/>
    <mergeCell ref="Y72:Y73"/>
    <mergeCell ref="Z72:Z73"/>
    <mergeCell ref="AA72:AA73"/>
    <mergeCell ref="AB72:AB73"/>
    <mergeCell ref="AC69:AC70"/>
    <mergeCell ref="AD69:AD70"/>
    <mergeCell ref="AE69:AE70"/>
    <mergeCell ref="AF69:AF70"/>
    <mergeCell ref="AG69:AG70"/>
    <mergeCell ref="AH69:AH70"/>
    <mergeCell ref="A72:A74"/>
    <mergeCell ref="B72:B74"/>
    <mergeCell ref="D72:D73"/>
    <mergeCell ref="E72:E73"/>
    <mergeCell ref="F72:F73"/>
    <mergeCell ref="G72:G73"/>
    <mergeCell ref="H72:H73"/>
    <mergeCell ref="I72:I73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S72:S73"/>
    <mergeCell ref="T69:T70"/>
    <mergeCell ref="U69:U70"/>
    <mergeCell ref="V69:V70"/>
    <mergeCell ref="W69:W70"/>
    <mergeCell ref="X69:X70"/>
    <mergeCell ref="Y69:Y70"/>
    <mergeCell ref="Z69:Z70"/>
    <mergeCell ref="AA69:AA70"/>
    <mergeCell ref="AB69:AB70"/>
    <mergeCell ref="K69:K70"/>
    <mergeCell ref="L69:L70"/>
    <mergeCell ref="M69:M70"/>
    <mergeCell ref="N69:N70"/>
    <mergeCell ref="O69:O70"/>
    <mergeCell ref="P69:P70"/>
    <mergeCell ref="Q69:Q70"/>
    <mergeCell ref="R69:R70"/>
    <mergeCell ref="S69:S70"/>
    <mergeCell ref="A69:A71"/>
    <mergeCell ref="B69:B71"/>
    <mergeCell ref="D69:D70"/>
    <mergeCell ref="E69:E70"/>
    <mergeCell ref="F69:F70"/>
    <mergeCell ref="G69:G70"/>
    <mergeCell ref="H69:H70"/>
    <mergeCell ref="I69:I70"/>
    <mergeCell ref="J69:J70"/>
    <mergeCell ref="AF66:AF67"/>
    <mergeCell ref="AG66:AG67"/>
    <mergeCell ref="AH66:AH67"/>
    <mergeCell ref="AB57:AB58"/>
    <mergeCell ref="AC57:AC58"/>
    <mergeCell ref="AD57:AD58"/>
    <mergeCell ref="AE57:AE58"/>
    <mergeCell ref="A66:A68"/>
    <mergeCell ref="B66:B68"/>
    <mergeCell ref="AF63:AF64"/>
    <mergeCell ref="AG63:AG64"/>
    <mergeCell ref="AH63:AH64"/>
    <mergeCell ref="W63:W64"/>
    <mergeCell ref="X63:X64"/>
    <mergeCell ref="Y63:Y64"/>
    <mergeCell ref="AA60:AA61"/>
    <mergeCell ref="AB60:AB61"/>
    <mergeCell ref="AC60:AC61"/>
    <mergeCell ref="AD60:AD61"/>
    <mergeCell ref="AE60:AE61"/>
    <mergeCell ref="AF60:AF61"/>
    <mergeCell ref="AG60:AG61"/>
    <mergeCell ref="X60:X61"/>
    <mergeCell ref="Y60:Y61"/>
    <mergeCell ref="Z60:Z61"/>
    <mergeCell ref="Z63:Z64"/>
    <mergeCell ref="AA63:AA64"/>
    <mergeCell ref="AB63:AB64"/>
    <mergeCell ref="AC63:AC64"/>
    <mergeCell ref="AD63:AD64"/>
    <mergeCell ref="AE63:AE64"/>
    <mergeCell ref="A63:A65"/>
    <mergeCell ref="B63:B65"/>
    <mergeCell ref="R60:R61"/>
    <mergeCell ref="S60:S61"/>
    <mergeCell ref="T60:T61"/>
    <mergeCell ref="U60:U61"/>
    <mergeCell ref="V60:V61"/>
    <mergeCell ref="W60:W61"/>
    <mergeCell ref="D63:D64"/>
    <mergeCell ref="E63:E64"/>
    <mergeCell ref="F63:F64"/>
    <mergeCell ref="G63:G64"/>
    <mergeCell ref="H63:H64"/>
    <mergeCell ref="I63:I64"/>
    <mergeCell ref="J63:J64"/>
    <mergeCell ref="K63:K64"/>
    <mergeCell ref="L63:L64"/>
    <mergeCell ref="M63:M64"/>
    <mergeCell ref="N63:N64"/>
    <mergeCell ref="O63:O64"/>
    <mergeCell ref="P63:P64"/>
    <mergeCell ref="L60:L61"/>
    <mergeCell ref="M60:M61"/>
    <mergeCell ref="N60:N61"/>
    <mergeCell ref="R30:R31"/>
    <mergeCell ref="S30:S31"/>
    <mergeCell ref="T30:T31"/>
    <mergeCell ref="Y33:Y34"/>
    <mergeCell ref="Z33:Z34"/>
    <mergeCell ref="AA33:AA34"/>
    <mergeCell ref="S33:S34"/>
    <mergeCell ref="T33:T34"/>
    <mergeCell ref="U33:U34"/>
    <mergeCell ref="V33:V34"/>
    <mergeCell ref="W33:W34"/>
    <mergeCell ref="O9:O10"/>
    <mergeCell ref="O60:O61"/>
    <mergeCell ref="X39:X40"/>
    <mergeCell ref="Y39:Y40"/>
    <mergeCell ref="AG57:AG58"/>
    <mergeCell ref="AH57:AH58"/>
    <mergeCell ref="P60:P61"/>
    <mergeCell ref="Q60:Q61"/>
    <mergeCell ref="S57:S58"/>
    <mergeCell ref="T57:T58"/>
    <mergeCell ref="U57:U58"/>
    <mergeCell ref="V57:V58"/>
    <mergeCell ref="W57:W58"/>
    <mergeCell ref="X57:X58"/>
    <mergeCell ref="Y57:Y58"/>
    <mergeCell ref="Z57:Z58"/>
    <mergeCell ref="AA57:AA58"/>
    <mergeCell ref="P57:P58"/>
    <mergeCell ref="Q57:Q58"/>
    <mergeCell ref="R57:R58"/>
    <mergeCell ref="AH60:AH61"/>
    <mergeCell ref="A5:R5"/>
    <mergeCell ref="S5:AH5"/>
    <mergeCell ref="F24:F25"/>
    <mergeCell ref="T27:T28"/>
    <mergeCell ref="I27:I28"/>
    <mergeCell ref="J27:J28"/>
    <mergeCell ref="K27:K28"/>
    <mergeCell ref="L27:L28"/>
    <mergeCell ref="S27:S28"/>
    <mergeCell ref="Q27:Q28"/>
    <mergeCell ref="R27:R28"/>
    <mergeCell ref="J24:J25"/>
    <mergeCell ref="K24:K25"/>
    <mergeCell ref="L24:L25"/>
    <mergeCell ref="W27:W28"/>
    <mergeCell ref="O24:O25"/>
    <mergeCell ref="R24:R25"/>
    <mergeCell ref="V27:V28"/>
    <mergeCell ref="AE24:AE25"/>
    <mergeCell ref="AH9:AH10"/>
    <mergeCell ref="AF9:AF10"/>
    <mergeCell ref="P9:P10"/>
    <mergeCell ref="E12:E13"/>
    <mergeCell ref="F12:F13"/>
    <mergeCell ref="G12:G13"/>
    <mergeCell ref="H12:H13"/>
    <mergeCell ref="I12:I13"/>
    <mergeCell ref="J12:J13"/>
    <mergeCell ref="K12:K13"/>
    <mergeCell ref="L12:L13"/>
    <mergeCell ref="M12:M13"/>
    <mergeCell ref="Z12:Z13"/>
    <mergeCell ref="AA12:AA13"/>
    <mergeCell ref="AB12:AB13"/>
    <mergeCell ref="AC12:AC13"/>
    <mergeCell ref="AD12:AD13"/>
    <mergeCell ref="AE12:AE13"/>
    <mergeCell ref="T12:T13"/>
    <mergeCell ref="U12:U13"/>
    <mergeCell ref="V12:V13"/>
    <mergeCell ref="W12:W13"/>
    <mergeCell ref="X12:X13"/>
    <mergeCell ref="Y12:Y13"/>
    <mergeCell ref="J9:J10"/>
    <mergeCell ref="I9:I10"/>
    <mergeCell ref="H9:H10"/>
    <mergeCell ref="G9:G10"/>
    <mergeCell ref="F9:F10"/>
    <mergeCell ref="E9:E10"/>
    <mergeCell ref="P15:P16"/>
    <mergeCell ref="U18:U19"/>
    <mergeCell ref="V18:V19"/>
    <mergeCell ref="W18:W19"/>
    <mergeCell ref="AI9:AI10"/>
    <mergeCell ref="W9:W10"/>
    <mergeCell ref="X9:X10"/>
    <mergeCell ref="Y9:Y10"/>
    <mergeCell ref="Z9:Z10"/>
    <mergeCell ref="AA9:AA10"/>
    <mergeCell ref="AB9:AB10"/>
    <mergeCell ref="AI12:AI13"/>
    <mergeCell ref="AH12:AH13"/>
    <mergeCell ref="AI15:AI16"/>
    <mergeCell ref="S15:S16"/>
    <mergeCell ref="AA15:AA16"/>
    <mergeCell ref="AB15:AB16"/>
    <mergeCell ref="AC15:AC16"/>
    <mergeCell ref="AD15:AD16"/>
    <mergeCell ref="AE15:AE16"/>
    <mergeCell ref="T15:T16"/>
    <mergeCell ref="U15:U16"/>
    <mergeCell ref="X15:X16"/>
    <mergeCell ref="Y15:Y16"/>
    <mergeCell ref="Z15:Z16"/>
    <mergeCell ref="AH15:AH16"/>
    <mergeCell ref="AG12:AG13"/>
    <mergeCell ref="AG15:AG16"/>
    <mergeCell ref="AE9:AE10"/>
    <mergeCell ref="AD9:AD10"/>
    <mergeCell ref="AC9:AC10"/>
    <mergeCell ref="AG9:AG10"/>
    <mergeCell ref="N15:N16"/>
    <mergeCell ref="O15:O16"/>
    <mergeCell ref="Q15:Q16"/>
    <mergeCell ref="R15:R16"/>
    <mergeCell ref="S12:S13"/>
    <mergeCell ref="A15:A17"/>
    <mergeCell ref="B15:B17"/>
    <mergeCell ref="D15:D16"/>
    <mergeCell ref="E15:E16"/>
    <mergeCell ref="F15:F16"/>
    <mergeCell ref="G15:G16"/>
    <mergeCell ref="AF18:AF19"/>
    <mergeCell ref="X18:X19"/>
    <mergeCell ref="Y18:Y19"/>
    <mergeCell ref="Z18:Z19"/>
    <mergeCell ref="Y21:Y22"/>
    <mergeCell ref="Z21:Z22"/>
    <mergeCell ref="AA21:AA22"/>
    <mergeCell ref="AB21:AB22"/>
    <mergeCell ref="AC21:AC22"/>
    <mergeCell ref="AD21:AD22"/>
    <mergeCell ref="AA18:AA19"/>
    <mergeCell ref="AB18:AB19"/>
    <mergeCell ref="AC18:AC19"/>
    <mergeCell ref="AD18:AD19"/>
    <mergeCell ref="AF15:AF16"/>
    <mergeCell ref="J21:J22"/>
    <mergeCell ref="K21:K22"/>
    <mergeCell ref="L21:L22"/>
    <mergeCell ref="M21:M22"/>
    <mergeCell ref="N21:N22"/>
    <mergeCell ref="O21:O22"/>
    <mergeCell ref="A24:A26"/>
    <mergeCell ref="B24:B26"/>
    <mergeCell ref="Q18:Q19"/>
    <mergeCell ref="R18:R19"/>
    <mergeCell ref="S18:S19"/>
    <mergeCell ref="T18:T19"/>
    <mergeCell ref="I18:I19"/>
    <mergeCell ref="J18:J19"/>
    <mergeCell ref="K18:K19"/>
    <mergeCell ref="L18:L19"/>
    <mergeCell ref="M18:M19"/>
    <mergeCell ref="N18:N19"/>
    <mergeCell ref="O18:O19"/>
    <mergeCell ref="P18:P19"/>
    <mergeCell ref="P24:P25"/>
    <mergeCell ref="Q24:Q25"/>
    <mergeCell ref="G24:G25"/>
    <mergeCell ref="H24:H25"/>
    <mergeCell ref="I24:I25"/>
    <mergeCell ref="A18:A20"/>
    <mergeCell ref="B18:B20"/>
    <mergeCell ref="D18:D19"/>
    <mergeCell ref="E18:E19"/>
    <mergeCell ref="F18:F19"/>
    <mergeCell ref="G18:G19"/>
    <mergeCell ref="H18:H19"/>
    <mergeCell ref="A21:A23"/>
    <mergeCell ref="B21:B23"/>
    <mergeCell ref="D21:D22"/>
    <mergeCell ref="E21:E22"/>
    <mergeCell ref="F21:F22"/>
    <mergeCell ref="G21:G22"/>
    <mergeCell ref="S21:S22"/>
    <mergeCell ref="T21:T22"/>
    <mergeCell ref="I21:I22"/>
    <mergeCell ref="H21:H22"/>
    <mergeCell ref="M27:M28"/>
    <mergeCell ref="N27:N28"/>
    <mergeCell ref="O27:O28"/>
    <mergeCell ref="P27:P28"/>
    <mergeCell ref="AF24:AF25"/>
    <mergeCell ref="Y24:Y25"/>
    <mergeCell ref="Z24:Z25"/>
    <mergeCell ref="AA24:AA25"/>
    <mergeCell ref="AB24:AB25"/>
    <mergeCell ref="AC24:AC25"/>
    <mergeCell ref="AD24:AD25"/>
    <mergeCell ref="S24:S25"/>
    <mergeCell ref="T24:T25"/>
    <mergeCell ref="U24:U25"/>
    <mergeCell ref="V24:V25"/>
    <mergeCell ref="W24:W25"/>
    <mergeCell ref="X24:X25"/>
    <mergeCell ref="AD27:AD28"/>
    <mergeCell ref="AE27:AE28"/>
    <mergeCell ref="AF27:AF28"/>
    <mergeCell ref="U27:U28"/>
    <mergeCell ref="A27:A29"/>
    <mergeCell ref="B27:B29"/>
    <mergeCell ref="D27:D28"/>
    <mergeCell ref="E27:E28"/>
    <mergeCell ref="F27:F28"/>
    <mergeCell ref="G27:G28"/>
    <mergeCell ref="H27:H28"/>
    <mergeCell ref="K30:K31"/>
    <mergeCell ref="H30:H31"/>
    <mergeCell ref="I30:I31"/>
    <mergeCell ref="X27:X28"/>
    <mergeCell ref="Y27:Y28"/>
    <mergeCell ref="Z27:Z28"/>
    <mergeCell ref="AA27:AA28"/>
    <mergeCell ref="AB27:AB28"/>
    <mergeCell ref="AC27:AC28"/>
    <mergeCell ref="A33:A35"/>
    <mergeCell ref="B33:B35"/>
    <mergeCell ref="O33:O34"/>
    <mergeCell ref="P33:P34"/>
    <mergeCell ref="Q33:Q34"/>
    <mergeCell ref="P30:P31"/>
    <mergeCell ref="Q30:Q31"/>
    <mergeCell ref="J30:J31"/>
    <mergeCell ref="L30:L31"/>
    <mergeCell ref="M30:M31"/>
    <mergeCell ref="A30:A32"/>
    <mergeCell ref="B30:B32"/>
    <mergeCell ref="D30:D31"/>
    <mergeCell ref="E30:E31"/>
    <mergeCell ref="F30:F31"/>
    <mergeCell ref="G30:G31"/>
    <mergeCell ref="AD33:AD34"/>
    <mergeCell ref="AE30:AE31"/>
    <mergeCell ref="U21:U22"/>
    <mergeCell ref="AE21:AE22"/>
    <mergeCell ref="V21:V22"/>
    <mergeCell ref="W21:W22"/>
    <mergeCell ref="AE18:AE19"/>
    <mergeCell ref="AG18:AG19"/>
    <mergeCell ref="D36:D37"/>
    <mergeCell ref="R33:R34"/>
    <mergeCell ref="E36:E37"/>
    <mergeCell ref="F36:F37"/>
    <mergeCell ref="G33:G34"/>
    <mergeCell ref="H33:H34"/>
    <mergeCell ref="I33:I34"/>
    <mergeCell ref="D33:D34"/>
    <mergeCell ref="E33:E34"/>
    <mergeCell ref="F33:F34"/>
    <mergeCell ref="J33:J34"/>
    <mergeCell ref="K33:K34"/>
    <mergeCell ref="L33:L34"/>
    <mergeCell ref="M33:M34"/>
    <mergeCell ref="N33:N34"/>
    <mergeCell ref="N30:N31"/>
    <mergeCell ref="O30:O31"/>
    <mergeCell ref="D24:D25"/>
    <mergeCell ref="E24:E25"/>
    <mergeCell ref="M24:M25"/>
    <mergeCell ref="N24:N25"/>
    <mergeCell ref="P21:P22"/>
    <mergeCell ref="Q21:Q22"/>
    <mergeCell ref="R21:R22"/>
    <mergeCell ref="B36:B38"/>
    <mergeCell ref="G36:G37"/>
    <mergeCell ref="H36:H37"/>
    <mergeCell ref="I36:I37"/>
    <mergeCell ref="D39:D40"/>
    <mergeCell ref="E39:E40"/>
    <mergeCell ref="F39:F40"/>
    <mergeCell ref="G39:G40"/>
    <mergeCell ref="AH18:AH19"/>
    <mergeCell ref="AH21:AH22"/>
    <mergeCell ref="AH24:AH25"/>
    <mergeCell ref="AH27:AH28"/>
    <mergeCell ref="AH30:AH31"/>
    <mergeCell ref="AH33:AH34"/>
    <mergeCell ref="U30:U31"/>
    <mergeCell ref="AE33:AE34"/>
    <mergeCell ref="AF33:AF34"/>
    <mergeCell ref="X33:X34"/>
    <mergeCell ref="AF30:AF31"/>
    <mergeCell ref="V30:V31"/>
    <mergeCell ref="W30:W31"/>
    <mergeCell ref="X30:X31"/>
    <mergeCell ref="Y30:Y31"/>
    <mergeCell ref="Z30:Z31"/>
    <mergeCell ref="AA30:AA31"/>
    <mergeCell ref="AB30:AB31"/>
    <mergeCell ref="AC30:AC31"/>
    <mergeCell ref="AD30:AD31"/>
    <mergeCell ref="AF21:AF22"/>
    <mergeCell ref="X21:X22"/>
    <mergeCell ref="AB33:AB34"/>
    <mergeCell ref="AC33:AC34"/>
    <mergeCell ref="O42:O43"/>
    <mergeCell ref="D45:D46"/>
    <mergeCell ref="E45:E46"/>
    <mergeCell ref="F45:F46"/>
    <mergeCell ref="A42:A44"/>
    <mergeCell ref="B42:B44"/>
    <mergeCell ref="T45:T46"/>
    <mergeCell ref="U45:U46"/>
    <mergeCell ref="Z39:Z40"/>
    <mergeCell ref="AA39:AA40"/>
    <mergeCell ref="A39:A41"/>
    <mergeCell ref="B39:B41"/>
    <mergeCell ref="J36:J37"/>
    <mergeCell ref="K36:K37"/>
    <mergeCell ref="L36:L37"/>
    <mergeCell ref="M36:M37"/>
    <mergeCell ref="N36:N37"/>
    <mergeCell ref="O36:O37"/>
    <mergeCell ref="S36:S37"/>
    <mergeCell ref="T36:T37"/>
    <mergeCell ref="P36:P37"/>
    <mergeCell ref="Q36:Q37"/>
    <mergeCell ref="R36:R37"/>
    <mergeCell ref="W36:W37"/>
    <mergeCell ref="X36:X37"/>
    <mergeCell ref="Y36:Y37"/>
    <mergeCell ref="Z36:Z37"/>
    <mergeCell ref="AA36:AA37"/>
    <mergeCell ref="U36:U37"/>
    <mergeCell ref="V36:V37"/>
    <mergeCell ref="V39:V40"/>
    <mergeCell ref="A36:A38"/>
    <mergeCell ref="X45:X46"/>
    <mergeCell ref="Y45:Y46"/>
    <mergeCell ref="Z45:Z46"/>
    <mergeCell ref="AA45:AA46"/>
    <mergeCell ref="AC51:AC52"/>
    <mergeCell ref="AD51:AD52"/>
    <mergeCell ref="V48:V49"/>
    <mergeCell ref="W48:W49"/>
    <mergeCell ref="S51:S52"/>
    <mergeCell ref="T51:T52"/>
    <mergeCell ref="S45:S46"/>
    <mergeCell ref="T39:T40"/>
    <mergeCell ref="U39:U40"/>
    <mergeCell ref="A45:A47"/>
    <mergeCell ref="B45:B47"/>
    <mergeCell ref="P45:P46"/>
    <mergeCell ref="Q45:Q46"/>
    <mergeCell ref="R45:R46"/>
    <mergeCell ref="S42:S43"/>
    <mergeCell ref="T42:T43"/>
    <mergeCell ref="U42:U43"/>
    <mergeCell ref="D42:D43"/>
    <mergeCell ref="E42:E43"/>
    <mergeCell ref="F42:F43"/>
    <mergeCell ref="G42:G43"/>
    <mergeCell ref="H42:H43"/>
    <mergeCell ref="I42:I43"/>
    <mergeCell ref="J42:J43"/>
    <mergeCell ref="K42:K43"/>
    <mergeCell ref="L42:L43"/>
    <mergeCell ref="M42:M43"/>
    <mergeCell ref="N42:N43"/>
    <mergeCell ref="K48:K49"/>
    <mergeCell ref="L48:L49"/>
    <mergeCell ref="M48:M49"/>
    <mergeCell ref="N48:N49"/>
    <mergeCell ref="A51:A53"/>
    <mergeCell ref="B51:B53"/>
    <mergeCell ref="K51:K52"/>
    <mergeCell ref="L51:L52"/>
    <mergeCell ref="M51:M52"/>
    <mergeCell ref="N51:N52"/>
    <mergeCell ref="S48:S49"/>
    <mergeCell ref="T48:T49"/>
    <mergeCell ref="H48:H49"/>
    <mergeCell ref="I48:I49"/>
    <mergeCell ref="J48:J49"/>
    <mergeCell ref="D51:D52"/>
    <mergeCell ref="E51:E52"/>
    <mergeCell ref="F51:F52"/>
    <mergeCell ref="G51:G52"/>
    <mergeCell ref="H51:H52"/>
    <mergeCell ref="I51:I52"/>
    <mergeCell ref="J51:J52"/>
    <mergeCell ref="O48:O49"/>
    <mergeCell ref="P48:P49"/>
    <mergeCell ref="Q48:Q49"/>
    <mergeCell ref="R48:R49"/>
    <mergeCell ref="O51:O52"/>
    <mergeCell ref="P51:P52"/>
    <mergeCell ref="Q51:Q52"/>
    <mergeCell ref="R51:R52"/>
    <mergeCell ref="AG21:AG22"/>
    <mergeCell ref="AG24:AG25"/>
    <mergeCell ref="AG27:AG28"/>
    <mergeCell ref="AG30:AG31"/>
    <mergeCell ref="AG33:AG34"/>
    <mergeCell ref="G45:G46"/>
    <mergeCell ref="H45:H46"/>
    <mergeCell ref="I45:I46"/>
    <mergeCell ref="J45:J46"/>
    <mergeCell ref="K45:K46"/>
    <mergeCell ref="L45:L46"/>
    <mergeCell ref="M45:M46"/>
    <mergeCell ref="N45:N46"/>
    <mergeCell ref="O45:O46"/>
    <mergeCell ref="M39:M40"/>
    <mergeCell ref="N39:N40"/>
    <mergeCell ref="O39:O40"/>
    <mergeCell ref="P39:P40"/>
    <mergeCell ref="Q39:Q40"/>
    <mergeCell ref="R39:R40"/>
    <mergeCell ref="S39:S40"/>
    <mergeCell ref="H39:H40"/>
    <mergeCell ref="I39:I40"/>
    <mergeCell ref="J39:J40"/>
    <mergeCell ref="K39:K40"/>
    <mergeCell ref="L39:L40"/>
    <mergeCell ref="P42:P43"/>
    <mergeCell ref="Q42:Q43"/>
    <mergeCell ref="R42:R43"/>
    <mergeCell ref="V45:V46"/>
    <mergeCell ref="W45:W46"/>
    <mergeCell ref="AB42:AB43"/>
    <mergeCell ref="U48:U49"/>
    <mergeCell ref="AH39:AH40"/>
    <mergeCell ref="AH42:AH43"/>
    <mergeCell ref="AH36:AH37"/>
    <mergeCell ref="AF42:AF43"/>
    <mergeCell ref="AF45:AF46"/>
    <mergeCell ref="AD36:AD37"/>
    <mergeCell ref="AB36:AB37"/>
    <mergeCell ref="AC36:AC37"/>
    <mergeCell ref="AE36:AE37"/>
    <mergeCell ref="AF36:AF37"/>
    <mergeCell ref="AG36:AG37"/>
    <mergeCell ref="AB39:AB40"/>
    <mergeCell ref="AC39:AC40"/>
    <mergeCell ref="AD39:AD40"/>
    <mergeCell ref="AE39:AE40"/>
    <mergeCell ref="AF39:AF40"/>
    <mergeCell ref="AG39:AG40"/>
    <mergeCell ref="AG42:AG43"/>
    <mergeCell ref="AC42:AC43"/>
    <mergeCell ref="AD42:AD43"/>
    <mergeCell ref="AE42:AE43"/>
    <mergeCell ref="AB45:AB46"/>
    <mergeCell ref="AC45:AC46"/>
    <mergeCell ref="AD45:AD46"/>
    <mergeCell ref="AE45:AE46"/>
    <mergeCell ref="V42:V43"/>
    <mergeCell ref="W42:W43"/>
    <mergeCell ref="X42:X43"/>
    <mergeCell ref="Y42:Y43"/>
    <mergeCell ref="Z42:Z43"/>
    <mergeCell ref="AA42:AA43"/>
    <mergeCell ref="P54:P55"/>
    <mergeCell ref="Q54:Q55"/>
    <mergeCell ref="R54:R55"/>
    <mergeCell ref="V51:V52"/>
    <mergeCell ref="W51:W52"/>
    <mergeCell ref="W54:W55"/>
    <mergeCell ref="S54:S55"/>
    <mergeCell ref="T54:T55"/>
    <mergeCell ref="U54:U55"/>
    <mergeCell ref="V54:V55"/>
    <mergeCell ref="AE51:AE52"/>
    <mergeCell ref="AF51:AF52"/>
    <mergeCell ref="AH48:AH49"/>
    <mergeCell ref="AG45:AG46"/>
    <mergeCell ref="AH45:AH46"/>
    <mergeCell ref="A48:A50"/>
    <mergeCell ref="B48:B50"/>
    <mergeCell ref="X48:X49"/>
    <mergeCell ref="Y48:Y49"/>
    <mergeCell ref="Z48:Z49"/>
    <mergeCell ref="AA48:AA49"/>
    <mergeCell ref="AB48:AB49"/>
    <mergeCell ref="AC48:AC49"/>
    <mergeCell ref="AD48:AD49"/>
    <mergeCell ref="AE48:AE49"/>
    <mergeCell ref="AF48:AF49"/>
    <mergeCell ref="AG48:AG49"/>
    <mergeCell ref="AG51:AG52"/>
    <mergeCell ref="D48:D49"/>
    <mergeCell ref="E48:E49"/>
    <mergeCell ref="F48:F49"/>
    <mergeCell ref="G48:G49"/>
    <mergeCell ref="A54:A56"/>
    <mergeCell ref="B54:B56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J60:J61"/>
    <mergeCell ref="A60:A62"/>
    <mergeCell ref="B60:B62"/>
    <mergeCell ref="A57:A59"/>
    <mergeCell ref="B57:B59"/>
    <mergeCell ref="N57:N58"/>
    <mergeCell ref="O57:O58"/>
    <mergeCell ref="D60:D61"/>
    <mergeCell ref="E60:E61"/>
    <mergeCell ref="F60:F61"/>
    <mergeCell ref="G60:G61"/>
    <mergeCell ref="H60:H61"/>
    <mergeCell ref="I60:I61"/>
    <mergeCell ref="J57:J58"/>
    <mergeCell ref="K57:K58"/>
    <mergeCell ref="H57:H58"/>
    <mergeCell ref="L57:L58"/>
    <mergeCell ref="D57:D58"/>
    <mergeCell ref="E57:E58"/>
    <mergeCell ref="Q63:Q64"/>
    <mergeCell ref="R63:R64"/>
    <mergeCell ref="S63:S64"/>
    <mergeCell ref="T63:T64"/>
    <mergeCell ref="U63:U64"/>
    <mergeCell ref="V63:V64"/>
    <mergeCell ref="S66:S67"/>
    <mergeCell ref="R66:R67"/>
    <mergeCell ref="Q66:Q67"/>
    <mergeCell ref="P66:P67"/>
    <mergeCell ref="O66:O67"/>
    <mergeCell ref="K60:K61"/>
    <mergeCell ref="M57:M58"/>
    <mergeCell ref="N66:N67"/>
    <mergeCell ref="M66:M67"/>
    <mergeCell ref="L66:L67"/>
    <mergeCell ref="K66:K67"/>
    <mergeCell ref="G66:G67"/>
    <mergeCell ref="H15:H16"/>
    <mergeCell ref="I15:I16"/>
    <mergeCell ref="I66:I67"/>
    <mergeCell ref="H66:H67"/>
    <mergeCell ref="L15:L16"/>
    <mergeCell ref="J66:J67"/>
    <mergeCell ref="F66:F67"/>
    <mergeCell ref="E66:E67"/>
    <mergeCell ref="D66:D67"/>
    <mergeCell ref="AB54:AB55"/>
    <mergeCell ref="AA54:AA55"/>
    <mergeCell ref="Z54:Z55"/>
    <mergeCell ref="Y54:Y55"/>
    <mergeCell ref="X54:X55"/>
    <mergeCell ref="AH54:AH55"/>
    <mergeCell ref="AG54:AG55"/>
    <mergeCell ref="AF54:AF55"/>
    <mergeCell ref="AE54:AE55"/>
    <mergeCell ref="AD54:AD55"/>
    <mergeCell ref="AC54:AC55"/>
    <mergeCell ref="AC66:AC67"/>
    <mergeCell ref="AD66:AD67"/>
    <mergeCell ref="AE66:AE67"/>
    <mergeCell ref="T66:T67"/>
    <mergeCell ref="U66:U67"/>
    <mergeCell ref="V66:V67"/>
    <mergeCell ref="W66:W67"/>
    <mergeCell ref="X66:X67"/>
    <mergeCell ref="Y66:Y67"/>
    <mergeCell ref="Z66:Z67"/>
    <mergeCell ref="AA66:AA67"/>
    <mergeCell ref="AB66:AB67"/>
    <mergeCell ref="J15:J16"/>
    <mergeCell ref="K15:K16"/>
    <mergeCell ref="F57:F58"/>
    <mergeCell ref="G57:G58"/>
    <mergeCell ref="M15:M16"/>
    <mergeCell ref="I57:I58"/>
    <mergeCell ref="D9:D10"/>
    <mergeCell ref="B12:B14"/>
    <mergeCell ref="A12:A14"/>
    <mergeCell ref="B9:B11"/>
    <mergeCell ref="A9:A11"/>
    <mergeCell ref="C7:C8"/>
    <mergeCell ref="W15:W16"/>
    <mergeCell ref="V15:V16"/>
    <mergeCell ref="N9:N10"/>
    <mergeCell ref="M9:M10"/>
    <mergeCell ref="L9:L10"/>
    <mergeCell ref="K9:K10"/>
    <mergeCell ref="V9:V10"/>
    <mergeCell ref="U9:U10"/>
    <mergeCell ref="T9:T10"/>
    <mergeCell ref="S9:S10"/>
    <mergeCell ref="R9:R10"/>
    <mergeCell ref="Q9:Q10"/>
    <mergeCell ref="D7:AH7"/>
    <mergeCell ref="D12:D13"/>
    <mergeCell ref="AF12:AF13"/>
    <mergeCell ref="N12:N13"/>
    <mergeCell ref="O12:O13"/>
    <mergeCell ref="P12:P13"/>
    <mergeCell ref="Q12:Q13"/>
    <mergeCell ref="R12:R13"/>
    <mergeCell ref="AI210:AI211"/>
    <mergeCell ref="AH210:AH211"/>
    <mergeCell ref="AG210:AG211"/>
    <mergeCell ref="AF210:AF211"/>
    <mergeCell ref="AE210:AE211"/>
    <mergeCell ref="AD210:AD211"/>
    <mergeCell ref="AC210:AC211"/>
    <mergeCell ref="AB210:AB211"/>
    <mergeCell ref="AA210:AA211"/>
    <mergeCell ref="Z210:Z211"/>
    <mergeCell ref="Y210:Y211"/>
    <mergeCell ref="X210:X211"/>
    <mergeCell ref="W210:W211"/>
    <mergeCell ref="V210:V211"/>
    <mergeCell ref="U210:U211"/>
    <mergeCell ref="T210:T211"/>
    <mergeCell ref="S210:S211"/>
    <mergeCell ref="R210:R211"/>
    <mergeCell ref="Q210:Q211"/>
    <mergeCell ref="P210:P211"/>
    <mergeCell ref="O210:O211"/>
    <mergeCell ref="N210:N211"/>
    <mergeCell ref="M210:M211"/>
    <mergeCell ref="L210:L211"/>
    <mergeCell ref="K210:K211"/>
    <mergeCell ref="J210:J211"/>
    <mergeCell ref="I210:I211"/>
    <mergeCell ref="H210:H211"/>
    <mergeCell ref="G210:G211"/>
    <mergeCell ref="F210:F211"/>
    <mergeCell ref="E210:E211"/>
    <mergeCell ref="D210:D211"/>
    <mergeCell ref="B210:B212"/>
    <mergeCell ref="A210:A212"/>
    <mergeCell ref="AI207:AI208"/>
    <mergeCell ref="AH207:AH208"/>
    <mergeCell ref="AG207:AG208"/>
    <mergeCell ref="AF207:AF208"/>
    <mergeCell ref="AE207:AE208"/>
    <mergeCell ref="AD207:AD208"/>
    <mergeCell ref="AC207:AC208"/>
    <mergeCell ref="AB207:AB208"/>
    <mergeCell ref="AA207:AA208"/>
    <mergeCell ref="Z207:Z208"/>
    <mergeCell ref="Y207:Y208"/>
    <mergeCell ref="X207:X208"/>
    <mergeCell ref="W207:W208"/>
    <mergeCell ref="V207:V208"/>
    <mergeCell ref="U207:U208"/>
    <mergeCell ref="T207:T208"/>
    <mergeCell ref="S207:S208"/>
    <mergeCell ref="R207:R208"/>
    <mergeCell ref="Q207:Q208"/>
    <mergeCell ref="P207:P208"/>
    <mergeCell ref="O207:O208"/>
    <mergeCell ref="N207:N208"/>
    <mergeCell ref="M207:M208"/>
    <mergeCell ref="L207:L208"/>
    <mergeCell ref="K207:K208"/>
    <mergeCell ref="J207:J208"/>
    <mergeCell ref="I207:I208"/>
    <mergeCell ref="H207:H208"/>
    <mergeCell ref="G207:G208"/>
    <mergeCell ref="F207:F208"/>
    <mergeCell ref="E207:E208"/>
    <mergeCell ref="D207:D208"/>
    <mergeCell ref="B207:B209"/>
    <mergeCell ref="A207:A209"/>
    <mergeCell ref="AI204:AI205"/>
    <mergeCell ref="AH204:AH205"/>
    <mergeCell ref="AG204:AG205"/>
    <mergeCell ref="AF204:AF205"/>
    <mergeCell ref="AE204:AE205"/>
    <mergeCell ref="AD204:AD205"/>
    <mergeCell ref="AC204:AC205"/>
    <mergeCell ref="AB204:AB205"/>
    <mergeCell ref="AA204:AA205"/>
    <mergeCell ref="Z204:Z205"/>
    <mergeCell ref="Y204:Y205"/>
    <mergeCell ref="X204:X205"/>
    <mergeCell ref="W204:W205"/>
    <mergeCell ref="V204:V205"/>
    <mergeCell ref="U204:U205"/>
    <mergeCell ref="T204:T205"/>
    <mergeCell ref="S204:S205"/>
    <mergeCell ref="R204:R205"/>
    <mergeCell ref="Q204:Q205"/>
    <mergeCell ref="P204:P205"/>
    <mergeCell ref="O204:O205"/>
    <mergeCell ref="N204:N205"/>
    <mergeCell ref="M204:M205"/>
    <mergeCell ref="L204:L205"/>
    <mergeCell ref="K204:K205"/>
    <mergeCell ref="J204:J205"/>
    <mergeCell ref="I204:I205"/>
    <mergeCell ref="H204:H205"/>
    <mergeCell ref="G204:G205"/>
    <mergeCell ref="F204:F205"/>
    <mergeCell ref="E204:E205"/>
    <mergeCell ref="D204:D205"/>
    <mergeCell ref="B204:B206"/>
    <mergeCell ref="A204:A206"/>
    <mergeCell ref="AI201:AI202"/>
    <mergeCell ref="AH201:AH202"/>
    <mergeCell ref="AG201:AG202"/>
    <mergeCell ref="AF201:AF202"/>
    <mergeCell ref="AE201:AE202"/>
    <mergeCell ref="AD201:AD202"/>
    <mergeCell ref="AC201:AC202"/>
    <mergeCell ref="AB201:AB202"/>
    <mergeCell ref="AA201:AA202"/>
    <mergeCell ref="Z201:Z202"/>
    <mergeCell ref="Y201:Y202"/>
    <mergeCell ref="X201:X202"/>
    <mergeCell ref="W201:W202"/>
    <mergeCell ref="V201:V202"/>
    <mergeCell ref="U201:U202"/>
    <mergeCell ref="T201:T202"/>
    <mergeCell ref="S201:S202"/>
    <mergeCell ref="R201:R202"/>
    <mergeCell ref="Q201:Q202"/>
    <mergeCell ref="P201:P202"/>
    <mergeCell ref="O201:O202"/>
    <mergeCell ref="N201:N202"/>
    <mergeCell ref="M201:M202"/>
    <mergeCell ref="L201:L202"/>
    <mergeCell ref="K201:K202"/>
    <mergeCell ref="J201:J202"/>
    <mergeCell ref="I201:I202"/>
    <mergeCell ref="H201:H202"/>
    <mergeCell ref="G201:G202"/>
    <mergeCell ref="F201:F202"/>
    <mergeCell ref="E201:E202"/>
    <mergeCell ref="D201:D202"/>
    <mergeCell ref="B201:B203"/>
    <mergeCell ref="A201:A203"/>
    <mergeCell ref="AI198:AI199"/>
    <mergeCell ref="AH198:AH199"/>
    <mergeCell ref="AG198:AG199"/>
    <mergeCell ref="AF198:AF199"/>
    <mergeCell ref="AE198:AE199"/>
    <mergeCell ref="AD198:AD199"/>
    <mergeCell ref="AC198:AC199"/>
    <mergeCell ref="AB198:AB199"/>
    <mergeCell ref="AA198:AA199"/>
    <mergeCell ref="Z198:Z199"/>
    <mergeCell ref="Y198:Y199"/>
    <mergeCell ref="X198:X199"/>
    <mergeCell ref="W198:W199"/>
    <mergeCell ref="V198:V199"/>
    <mergeCell ref="U198:U199"/>
    <mergeCell ref="T198:T199"/>
    <mergeCell ref="S198:S199"/>
    <mergeCell ref="R198:R199"/>
    <mergeCell ref="Q198:Q199"/>
    <mergeCell ref="P198:P199"/>
    <mergeCell ref="O198:O199"/>
    <mergeCell ref="N198:N199"/>
    <mergeCell ref="M198:M199"/>
    <mergeCell ref="L198:L199"/>
    <mergeCell ref="K198:K199"/>
    <mergeCell ref="J198:J199"/>
    <mergeCell ref="I198:I199"/>
    <mergeCell ref="H198:H199"/>
    <mergeCell ref="G198:G199"/>
    <mergeCell ref="F198:F199"/>
    <mergeCell ref="E198:E199"/>
    <mergeCell ref="D198:D199"/>
    <mergeCell ref="B198:B200"/>
    <mergeCell ref="A198:A200"/>
    <mergeCell ref="AI195:AI196"/>
    <mergeCell ref="AH195:AH196"/>
    <mergeCell ref="AG195:AG196"/>
    <mergeCell ref="AF195:AF196"/>
    <mergeCell ref="AE195:AE196"/>
    <mergeCell ref="AD195:AD196"/>
    <mergeCell ref="AC195:AC196"/>
    <mergeCell ref="AB195:AB196"/>
    <mergeCell ref="AA195:AA196"/>
    <mergeCell ref="Z195:Z196"/>
    <mergeCell ref="Y195:Y196"/>
    <mergeCell ref="X195:X196"/>
    <mergeCell ref="W195:W196"/>
    <mergeCell ref="V195:V196"/>
    <mergeCell ref="U195:U196"/>
    <mergeCell ref="T195:T196"/>
    <mergeCell ref="S195:S196"/>
    <mergeCell ref="R195:R196"/>
    <mergeCell ref="Q195:Q196"/>
    <mergeCell ref="P195:P196"/>
    <mergeCell ref="O195:O196"/>
    <mergeCell ref="N195:N196"/>
    <mergeCell ref="M195:M196"/>
    <mergeCell ref="L195:L196"/>
    <mergeCell ref="K195:K196"/>
    <mergeCell ref="J195:J196"/>
    <mergeCell ref="I195:I196"/>
    <mergeCell ref="H195:H196"/>
    <mergeCell ref="G195:G196"/>
    <mergeCell ref="F195:F196"/>
    <mergeCell ref="E195:E196"/>
    <mergeCell ref="D195:D196"/>
    <mergeCell ref="B195:B197"/>
    <mergeCell ref="A195:A197"/>
    <mergeCell ref="AI192:AI193"/>
    <mergeCell ref="AH192:AH193"/>
    <mergeCell ref="AG192:AG193"/>
    <mergeCell ref="AF192:AF193"/>
    <mergeCell ref="AE192:AE193"/>
    <mergeCell ref="AD192:AD193"/>
    <mergeCell ref="AC192:AC193"/>
    <mergeCell ref="AB192:AB193"/>
    <mergeCell ref="AA192:AA193"/>
    <mergeCell ref="Z192:Z193"/>
    <mergeCell ref="Y192:Y193"/>
    <mergeCell ref="X192:X193"/>
    <mergeCell ref="W192:W193"/>
    <mergeCell ref="V192:V193"/>
    <mergeCell ref="U192:U193"/>
    <mergeCell ref="T192:T193"/>
    <mergeCell ref="S192:S193"/>
    <mergeCell ref="R192:R193"/>
    <mergeCell ref="Q192:Q193"/>
    <mergeCell ref="P192:P193"/>
    <mergeCell ref="O192:O193"/>
    <mergeCell ref="N192:N193"/>
    <mergeCell ref="M192:M193"/>
    <mergeCell ref="L192:L193"/>
    <mergeCell ref="K192:K193"/>
    <mergeCell ref="J192:J193"/>
    <mergeCell ref="I192:I193"/>
    <mergeCell ref="H192:H193"/>
    <mergeCell ref="G192:G193"/>
    <mergeCell ref="F192:F193"/>
    <mergeCell ref="E192:E193"/>
    <mergeCell ref="D192:D193"/>
    <mergeCell ref="B192:B194"/>
    <mergeCell ref="A192:A194"/>
    <mergeCell ref="AI189:AI190"/>
    <mergeCell ref="AH189:AH190"/>
    <mergeCell ref="AG189:AG190"/>
    <mergeCell ref="AF189:AF190"/>
    <mergeCell ref="AE189:AE190"/>
    <mergeCell ref="AD189:AD190"/>
    <mergeCell ref="AC189:AC190"/>
    <mergeCell ref="AB189:AB190"/>
    <mergeCell ref="AA189:AA190"/>
    <mergeCell ref="Z189:Z190"/>
    <mergeCell ref="Y189:Y190"/>
    <mergeCell ref="X189:X190"/>
    <mergeCell ref="W189:W190"/>
    <mergeCell ref="V189:V190"/>
    <mergeCell ref="U189:U190"/>
    <mergeCell ref="T189:T190"/>
    <mergeCell ref="S189:S190"/>
    <mergeCell ref="R189:R190"/>
    <mergeCell ref="Q189:Q190"/>
    <mergeCell ref="P189:P190"/>
    <mergeCell ref="O189:O190"/>
    <mergeCell ref="N189:N190"/>
    <mergeCell ref="M189:M190"/>
    <mergeCell ref="L189:L190"/>
    <mergeCell ref="K189:K190"/>
    <mergeCell ref="J189:J190"/>
    <mergeCell ref="I189:I190"/>
    <mergeCell ref="H189:H190"/>
    <mergeCell ref="G189:G190"/>
    <mergeCell ref="F189:F190"/>
    <mergeCell ref="E189:E190"/>
    <mergeCell ref="D189:D190"/>
    <mergeCell ref="B189:B191"/>
    <mergeCell ref="A189:A191"/>
    <mergeCell ref="AI186:AI187"/>
    <mergeCell ref="AH186:AH187"/>
    <mergeCell ref="AG186:AG187"/>
    <mergeCell ref="AF186:AF187"/>
    <mergeCell ref="AE186:AE187"/>
    <mergeCell ref="AD186:AD187"/>
    <mergeCell ref="AC186:AC187"/>
    <mergeCell ref="AB186:AB187"/>
    <mergeCell ref="AA186:AA187"/>
    <mergeCell ref="Z186:Z187"/>
    <mergeCell ref="Y186:Y187"/>
    <mergeCell ref="X186:X187"/>
    <mergeCell ref="W186:W187"/>
    <mergeCell ref="V186:V187"/>
    <mergeCell ref="U186:U187"/>
    <mergeCell ref="T186:T187"/>
    <mergeCell ref="S186:S187"/>
    <mergeCell ref="R186:R187"/>
    <mergeCell ref="Q186:Q187"/>
    <mergeCell ref="P186:P187"/>
    <mergeCell ref="O186:O187"/>
    <mergeCell ref="N186:N187"/>
    <mergeCell ref="M186:M187"/>
    <mergeCell ref="L186:L187"/>
    <mergeCell ref="K186:K187"/>
    <mergeCell ref="J186:J187"/>
    <mergeCell ref="I186:I187"/>
    <mergeCell ref="H186:H187"/>
    <mergeCell ref="G186:G187"/>
    <mergeCell ref="F186:F187"/>
    <mergeCell ref="E186:E187"/>
    <mergeCell ref="D186:D187"/>
    <mergeCell ref="B186:B188"/>
    <mergeCell ref="A186:A188"/>
    <mergeCell ref="AI183:AI184"/>
    <mergeCell ref="AH183:AH184"/>
    <mergeCell ref="AG183:AG184"/>
    <mergeCell ref="AF183:AF184"/>
    <mergeCell ref="AE183:AE184"/>
    <mergeCell ref="AD183:AD184"/>
    <mergeCell ref="AC183:AC184"/>
    <mergeCell ref="AB183:AB184"/>
    <mergeCell ref="AA183:AA184"/>
    <mergeCell ref="Z183:Z184"/>
    <mergeCell ref="Y183:Y184"/>
    <mergeCell ref="X183:X184"/>
    <mergeCell ref="W183:W184"/>
    <mergeCell ref="V183:V184"/>
    <mergeCell ref="U183:U184"/>
    <mergeCell ref="T183:T184"/>
    <mergeCell ref="S183:S184"/>
    <mergeCell ref="R183:R184"/>
    <mergeCell ref="Q183:Q184"/>
    <mergeCell ref="P183:P184"/>
    <mergeCell ref="O183:O184"/>
    <mergeCell ref="N183:N184"/>
    <mergeCell ref="M183:M184"/>
    <mergeCell ref="L183:L184"/>
    <mergeCell ref="K183:K184"/>
    <mergeCell ref="J183:J184"/>
    <mergeCell ref="I183:I184"/>
    <mergeCell ref="H183:H184"/>
    <mergeCell ref="G183:G184"/>
    <mergeCell ref="F183:F184"/>
    <mergeCell ref="E183:E184"/>
    <mergeCell ref="D183:D184"/>
    <mergeCell ref="B183:B185"/>
    <mergeCell ref="A183:A185"/>
    <mergeCell ref="AI180:AI181"/>
    <mergeCell ref="AH180:AH181"/>
    <mergeCell ref="AG180:AG181"/>
    <mergeCell ref="AF180:AF181"/>
    <mergeCell ref="AE180:AE181"/>
    <mergeCell ref="AD180:AD181"/>
    <mergeCell ref="AC180:AC181"/>
    <mergeCell ref="AB180:AB181"/>
    <mergeCell ref="AA180:AA181"/>
    <mergeCell ref="Z180:Z181"/>
    <mergeCell ref="Y180:Y181"/>
    <mergeCell ref="X180:X181"/>
    <mergeCell ref="W180:W181"/>
    <mergeCell ref="V180:V181"/>
    <mergeCell ref="U180:U181"/>
    <mergeCell ref="T180:T181"/>
    <mergeCell ref="S180:S181"/>
    <mergeCell ref="R180:R181"/>
    <mergeCell ref="Q180:Q181"/>
    <mergeCell ref="P180:P181"/>
    <mergeCell ref="O180:O181"/>
    <mergeCell ref="N180:N181"/>
    <mergeCell ref="M180:M181"/>
    <mergeCell ref="L180:L181"/>
    <mergeCell ref="K180:K181"/>
    <mergeCell ref="J180:J181"/>
    <mergeCell ref="I180:I181"/>
    <mergeCell ref="H180:H181"/>
    <mergeCell ref="G180:G181"/>
    <mergeCell ref="F180:F181"/>
    <mergeCell ref="E180:E181"/>
    <mergeCell ref="D180:D181"/>
    <mergeCell ref="B180:B182"/>
    <mergeCell ref="A180:A182"/>
    <mergeCell ref="AI177:AI178"/>
    <mergeCell ref="AH177:AH178"/>
    <mergeCell ref="AG177:AG178"/>
    <mergeCell ref="AF177:AF178"/>
    <mergeCell ref="AE177:AE178"/>
    <mergeCell ref="AD177:AD178"/>
    <mergeCell ref="AC177:AC178"/>
    <mergeCell ref="AB177:AB178"/>
    <mergeCell ref="AA177:AA178"/>
    <mergeCell ref="Z177:Z178"/>
    <mergeCell ref="Y177:Y178"/>
    <mergeCell ref="X177:X178"/>
    <mergeCell ref="W177:W178"/>
    <mergeCell ref="V177:V178"/>
    <mergeCell ref="U177:U178"/>
    <mergeCell ref="T177:T178"/>
    <mergeCell ref="S177:S178"/>
    <mergeCell ref="R177:R178"/>
    <mergeCell ref="Q177:Q178"/>
    <mergeCell ref="P177:P178"/>
    <mergeCell ref="O177:O178"/>
    <mergeCell ref="N177:N178"/>
    <mergeCell ref="M177:M178"/>
    <mergeCell ref="L177:L178"/>
    <mergeCell ref="K177:K178"/>
    <mergeCell ref="J177:J178"/>
    <mergeCell ref="I177:I178"/>
    <mergeCell ref="H177:H178"/>
    <mergeCell ref="G177:G178"/>
    <mergeCell ref="F177:F178"/>
    <mergeCell ref="E177:E178"/>
    <mergeCell ref="D177:D178"/>
    <mergeCell ref="B177:B179"/>
    <mergeCell ref="A177:A179"/>
    <mergeCell ref="AI174:AI175"/>
    <mergeCell ref="AH174:AH175"/>
    <mergeCell ref="AG174:AG175"/>
    <mergeCell ref="AF174:AF175"/>
    <mergeCell ref="AE174:AE175"/>
    <mergeCell ref="AD174:AD175"/>
    <mergeCell ref="AC174:AC175"/>
    <mergeCell ref="AB174:AB175"/>
    <mergeCell ref="AA174:AA175"/>
    <mergeCell ref="Z174:Z175"/>
    <mergeCell ref="Y174:Y175"/>
    <mergeCell ref="X174:X175"/>
    <mergeCell ref="W174:W175"/>
    <mergeCell ref="V174:V175"/>
    <mergeCell ref="U174:U175"/>
    <mergeCell ref="T174:T175"/>
    <mergeCell ref="S174:S175"/>
    <mergeCell ref="R174:R175"/>
    <mergeCell ref="Q174:Q175"/>
    <mergeCell ref="P174:P175"/>
    <mergeCell ref="O174:O175"/>
    <mergeCell ref="N174:N175"/>
    <mergeCell ref="M174:M175"/>
    <mergeCell ref="L174:L175"/>
    <mergeCell ref="K174:K175"/>
    <mergeCell ref="J174:J175"/>
    <mergeCell ref="I174:I175"/>
    <mergeCell ref="H174:H175"/>
    <mergeCell ref="G174:G175"/>
    <mergeCell ref="F174:F175"/>
    <mergeCell ref="E174:E175"/>
    <mergeCell ref="D174:D175"/>
    <mergeCell ref="B174:B176"/>
    <mergeCell ref="A174:A176"/>
    <mergeCell ref="AI171:AI172"/>
    <mergeCell ref="AH171:AH172"/>
    <mergeCell ref="AG171:AG172"/>
    <mergeCell ref="AF171:AF172"/>
    <mergeCell ref="AE171:AE172"/>
    <mergeCell ref="AD171:AD172"/>
    <mergeCell ref="AC171:AC172"/>
    <mergeCell ref="AB171:AB172"/>
    <mergeCell ref="AA171:AA172"/>
    <mergeCell ref="Z171:Z172"/>
    <mergeCell ref="Y171:Y172"/>
    <mergeCell ref="X171:X172"/>
    <mergeCell ref="W171:W172"/>
    <mergeCell ref="V171:V172"/>
    <mergeCell ref="U171:U172"/>
    <mergeCell ref="T171:T172"/>
    <mergeCell ref="S171:S172"/>
    <mergeCell ref="R171:R172"/>
    <mergeCell ref="Q171:Q172"/>
    <mergeCell ref="P171:P172"/>
    <mergeCell ref="O171:O172"/>
    <mergeCell ref="N171:N172"/>
    <mergeCell ref="M171:M172"/>
    <mergeCell ref="L171:L172"/>
    <mergeCell ref="K171:K172"/>
    <mergeCell ref="J171:J172"/>
    <mergeCell ref="I171:I172"/>
    <mergeCell ref="H171:H172"/>
    <mergeCell ref="G171:G172"/>
    <mergeCell ref="F171:F172"/>
    <mergeCell ref="E171:E172"/>
    <mergeCell ref="D171:D172"/>
    <mergeCell ref="B171:B173"/>
    <mergeCell ref="A171:A173"/>
    <mergeCell ref="AI168:AI169"/>
    <mergeCell ref="AH168:AH169"/>
    <mergeCell ref="AG168:AG169"/>
    <mergeCell ref="AF168:AF169"/>
    <mergeCell ref="AE168:AE169"/>
    <mergeCell ref="AD168:AD169"/>
    <mergeCell ref="AC168:AC169"/>
    <mergeCell ref="AB168:AB169"/>
    <mergeCell ref="AA168:AA169"/>
    <mergeCell ref="Z168:Z169"/>
    <mergeCell ref="Y168:Y169"/>
    <mergeCell ref="X168:X169"/>
    <mergeCell ref="W168:W169"/>
    <mergeCell ref="V168:V169"/>
    <mergeCell ref="U168:U169"/>
    <mergeCell ref="T168:T169"/>
    <mergeCell ref="S168:S169"/>
    <mergeCell ref="R168:R169"/>
    <mergeCell ref="Q168:Q169"/>
    <mergeCell ref="P168:P169"/>
    <mergeCell ref="O168:O169"/>
    <mergeCell ref="N168:N169"/>
    <mergeCell ref="M168:M169"/>
    <mergeCell ref="L168:L169"/>
    <mergeCell ref="K168:K169"/>
    <mergeCell ref="J168:J169"/>
    <mergeCell ref="I168:I169"/>
    <mergeCell ref="H168:H169"/>
    <mergeCell ref="G168:G169"/>
    <mergeCell ref="F168:F169"/>
    <mergeCell ref="E168:E169"/>
    <mergeCell ref="D168:D169"/>
    <mergeCell ref="B168:B170"/>
    <mergeCell ref="A168:A170"/>
    <mergeCell ref="AI165:AI166"/>
    <mergeCell ref="AH165:AH166"/>
    <mergeCell ref="AG165:AG166"/>
    <mergeCell ref="AF165:AF166"/>
    <mergeCell ref="AE165:AE166"/>
    <mergeCell ref="AD165:AD166"/>
    <mergeCell ref="AC165:AC166"/>
    <mergeCell ref="AB165:AB166"/>
    <mergeCell ref="AA165:AA166"/>
    <mergeCell ref="Z165:Z166"/>
    <mergeCell ref="Y165:Y166"/>
    <mergeCell ref="X165:X166"/>
    <mergeCell ref="W165:W166"/>
    <mergeCell ref="V165:V166"/>
    <mergeCell ref="U165:U166"/>
    <mergeCell ref="T165:T166"/>
    <mergeCell ref="S165:S166"/>
    <mergeCell ref="R165:R166"/>
    <mergeCell ref="Q165:Q166"/>
    <mergeCell ref="P165:P166"/>
    <mergeCell ref="O165:O166"/>
    <mergeCell ref="N165:N166"/>
    <mergeCell ref="M165:M166"/>
    <mergeCell ref="L165:L166"/>
    <mergeCell ref="K165:K166"/>
    <mergeCell ref="J165:J166"/>
    <mergeCell ref="I165:I166"/>
    <mergeCell ref="H165:H166"/>
    <mergeCell ref="G165:G166"/>
    <mergeCell ref="F165:F166"/>
    <mergeCell ref="E165:E166"/>
    <mergeCell ref="D165:D166"/>
    <mergeCell ref="B165:B167"/>
    <mergeCell ref="A165:A167"/>
    <mergeCell ref="AI162:AI163"/>
    <mergeCell ref="AH162:AH163"/>
    <mergeCell ref="AG162:AG163"/>
    <mergeCell ref="AF162:AF163"/>
    <mergeCell ref="AE162:AE163"/>
    <mergeCell ref="AD162:AD163"/>
    <mergeCell ref="AC162:AC163"/>
    <mergeCell ref="AB162:AB163"/>
    <mergeCell ref="AA162:AA163"/>
    <mergeCell ref="Z162:Z163"/>
    <mergeCell ref="Y162:Y163"/>
    <mergeCell ref="X162:X163"/>
    <mergeCell ref="W162:W163"/>
    <mergeCell ref="V162:V163"/>
    <mergeCell ref="U162:U163"/>
    <mergeCell ref="T162:T163"/>
    <mergeCell ref="S162:S163"/>
    <mergeCell ref="R162:R163"/>
    <mergeCell ref="Q162:Q163"/>
    <mergeCell ref="P162:P163"/>
    <mergeCell ref="O162:O163"/>
    <mergeCell ref="N162:N163"/>
    <mergeCell ref="M162:M163"/>
    <mergeCell ref="L162:L163"/>
    <mergeCell ref="K162:K163"/>
    <mergeCell ref="J162:J163"/>
    <mergeCell ref="I162:I163"/>
    <mergeCell ref="H162:H163"/>
    <mergeCell ref="G162:G163"/>
    <mergeCell ref="F162:F163"/>
    <mergeCell ref="E162:E163"/>
    <mergeCell ref="D162:D163"/>
    <mergeCell ref="B162:B164"/>
    <mergeCell ref="A162:A164"/>
    <mergeCell ref="AI159:AI160"/>
    <mergeCell ref="AH159:AH160"/>
    <mergeCell ref="AG159:AG160"/>
    <mergeCell ref="AF159:AF160"/>
    <mergeCell ref="AE159:AE160"/>
    <mergeCell ref="AD159:AD160"/>
    <mergeCell ref="AC159:AC160"/>
    <mergeCell ref="AB159:AB160"/>
    <mergeCell ref="AA159:AA160"/>
    <mergeCell ref="Z159:Z160"/>
    <mergeCell ref="Y159:Y160"/>
    <mergeCell ref="X159:X160"/>
    <mergeCell ref="W159:W160"/>
    <mergeCell ref="V159:V160"/>
    <mergeCell ref="U159:U160"/>
    <mergeCell ref="T159:T160"/>
    <mergeCell ref="S159:S160"/>
    <mergeCell ref="R159:R160"/>
    <mergeCell ref="Q159:Q160"/>
    <mergeCell ref="P159:P160"/>
    <mergeCell ref="O159:O160"/>
    <mergeCell ref="N159:N160"/>
    <mergeCell ref="M159:M160"/>
    <mergeCell ref="L159:L160"/>
    <mergeCell ref="K159:K160"/>
    <mergeCell ref="J159:J160"/>
    <mergeCell ref="I159:I160"/>
    <mergeCell ref="H159:H160"/>
    <mergeCell ref="G159:G160"/>
    <mergeCell ref="F159:F160"/>
    <mergeCell ref="E159:E160"/>
    <mergeCell ref="D159:D160"/>
    <mergeCell ref="B159:B161"/>
    <mergeCell ref="A159:A161"/>
    <mergeCell ref="AI156:AI157"/>
    <mergeCell ref="AH156:AH157"/>
    <mergeCell ref="AG156:AG157"/>
    <mergeCell ref="AF156:AF157"/>
    <mergeCell ref="AE156:AE157"/>
    <mergeCell ref="AD156:AD157"/>
    <mergeCell ref="AC156:AC157"/>
    <mergeCell ref="AB156:AB157"/>
    <mergeCell ref="AA156:AA157"/>
    <mergeCell ref="Z156:Z157"/>
    <mergeCell ref="Y156:Y157"/>
    <mergeCell ref="X156:X157"/>
    <mergeCell ref="W156:W157"/>
    <mergeCell ref="V156:V157"/>
    <mergeCell ref="U156:U157"/>
    <mergeCell ref="T156:T157"/>
    <mergeCell ref="S156:S157"/>
    <mergeCell ref="R156:R157"/>
    <mergeCell ref="Q156:Q157"/>
    <mergeCell ref="P156:P157"/>
    <mergeCell ref="O156:O157"/>
    <mergeCell ref="N156:N157"/>
    <mergeCell ref="M156:M157"/>
    <mergeCell ref="L156:L157"/>
    <mergeCell ref="K156:K157"/>
    <mergeCell ref="J156:J157"/>
    <mergeCell ref="I156:I157"/>
    <mergeCell ref="H156:H157"/>
    <mergeCell ref="G156:G157"/>
    <mergeCell ref="F156:F157"/>
    <mergeCell ref="E156:E157"/>
    <mergeCell ref="D156:D157"/>
    <mergeCell ref="B156:B158"/>
    <mergeCell ref="A156:A158"/>
    <mergeCell ref="AI153:AI154"/>
    <mergeCell ref="AH153:AH154"/>
    <mergeCell ref="AG153:AG154"/>
    <mergeCell ref="AF153:AF154"/>
    <mergeCell ref="AE153:AE154"/>
    <mergeCell ref="AD153:AD154"/>
    <mergeCell ref="AC153:AC154"/>
    <mergeCell ref="AB153:AB154"/>
    <mergeCell ref="AA153:AA154"/>
    <mergeCell ref="Z153:Z154"/>
    <mergeCell ref="Y153:Y154"/>
    <mergeCell ref="X153:X154"/>
    <mergeCell ref="W153:W154"/>
    <mergeCell ref="V153:V154"/>
    <mergeCell ref="U153:U154"/>
    <mergeCell ref="T153:T154"/>
    <mergeCell ref="S153:S154"/>
    <mergeCell ref="R153:R154"/>
    <mergeCell ref="Q153:Q154"/>
    <mergeCell ref="P153:P154"/>
    <mergeCell ref="O153:O154"/>
    <mergeCell ref="N153:N154"/>
    <mergeCell ref="M153:M154"/>
    <mergeCell ref="L153:L154"/>
    <mergeCell ref="K153:K154"/>
    <mergeCell ref="J153:J154"/>
    <mergeCell ref="I153:I154"/>
    <mergeCell ref="H153:H154"/>
    <mergeCell ref="G153:G154"/>
    <mergeCell ref="F153:F154"/>
    <mergeCell ref="E153:E154"/>
    <mergeCell ref="D153:D154"/>
    <mergeCell ref="B153:B155"/>
    <mergeCell ref="A153:A155"/>
    <mergeCell ref="AI150:AI151"/>
    <mergeCell ref="AH150:AH151"/>
    <mergeCell ref="AG150:AG151"/>
    <mergeCell ref="AF150:AF151"/>
    <mergeCell ref="AE150:AE151"/>
    <mergeCell ref="AD150:AD151"/>
    <mergeCell ref="AC150:AC151"/>
    <mergeCell ref="AB150:AB151"/>
    <mergeCell ref="AA150:AA151"/>
    <mergeCell ref="Z150:Z151"/>
    <mergeCell ref="Y150:Y151"/>
    <mergeCell ref="X150:X151"/>
    <mergeCell ref="W150:W151"/>
    <mergeCell ref="V150:V151"/>
    <mergeCell ref="U150:U151"/>
    <mergeCell ref="T150:T151"/>
    <mergeCell ref="S150:S151"/>
    <mergeCell ref="R150:R151"/>
    <mergeCell ref="Q150:Q151"/>
    <mergeCell ref="P150:P151"/>
    <mergeCell ref="O150:O151"/>
    <mergeCell ref="N150:N151"/>
    <mergeCell ref="M150:M151"/>
    <mergeCell ref="L150:L151"/>
    <mergeCell ref="K150:K151"/>
    <mergeCell ref="J150:J151"/>
    <mergeCell ref="I150:I151"/>
    <mergeCell ref="H150:H151"/>
    <mergeCell ref="G150:G151"/>
    <mergeCell ref="F150:F151"/>
    <mergeCell ref="E150:E151"/>
    <mergeCell ref="D150:D151"/>
    <mergeCell ref="B150:B152"/>
    <mergeCell ref="A150:A152"/>
    <mergeCell ref="AI147:AI148"/>
    <mergeCell ref="AH147:AH148"/>
    <mergeCell ref="AG147:AG148"/>
    <mergeCell ref="AF147:AF148"/>
    <mergeCell ref="AE147:AE148"/>
    <mergeCell ref="AD147:AD148"/>
    <mergeCell ref="AC147:AC148"/>
    <mergeCell ref="AB147:AB148"/>
    <mergeCell ref="AA147:AA148"/>
    <mergeCell ref="Z147:Z148"/>
    <mergeCell ref="Y147:Y148"/>
    <mergeCell ref="X147:X148"/>
    <mergeCell ref="W147:W148"/>
    <mergeCell ref="V147:V148"/>
    <mergeCell ref="U147:U148"/>
    <mergeCell ref="T147:T148"/>
    <mergeCell ref="S147:S148"/>
    <mergeCell ref="R147:R148"/>
    <mergeCell ref="Q147:Q148"/>
    <mergeCell ref="P147:P148"/>
    <mergeCell ref="O147:O148"/>
    <mergeCell ref="N147:N148"/>
    <mergeCell ref="M147:M148"/>
    <mergeCell ref="L147:L148"/>
    <mergeCell ref="K147:K148"/>
    <mergeCell ref="J147:J148"/>
    <mergeCell ref="I147:I148"/>
    <mergeCell ref="H147:H148"/>
    <mergeCell ref="G147:G148"/>
    <mergeCell ref="F147:F148"/>
    <mergeCell ref="E147:E148"/>
    <mergeCell ref="D147:D148"/>
    <mergeCell ref="B147:B149"/>
    <mergeCell ref="A147:A149"/>
    <mergeCell ref="AI144:AI145"/>
    <mergeCell ref="AH144:AH145"/>
    <mergeCell ref="AG144:AG145"/>
    <mergeCell ref="AF144:AF145"/>
    <mergeCell ref="AE144:AE145"/>
    <mergeCell ref="AD144:AD145"/>
    <mergeCell ref="AC144:AC145"/>
    <mergeCell ref="AB144:AB145"/>
    <mergeCell ref="AA144:AA145"/>
    <mergeCell ref="Z144:Z145"/>
    <mergeCell ref="Y144:Y145"/>
    <mergeCell ref="X144:X145"/>
    <mergeCell ref="W144:W145"/>
    <mergeCell ref="V144:V145"/>
    <mergeCell ref="U144:U145"/>
    <mergeCell ref="T144:T145"/>
    <mergeCell ref="S144:S145"/>
    <mergeCell ref="R144:R145"/>
    <mergeCell ref="Q144:Q145"/>
    <mergeCell ref="P144:P145"/>
    <mergeCell ref="O144:O145"/>
    <mergeCell ref="N144:N145"/>
    <mergeCell ref="M144:M145"/>
    <mergeCell ref="L144:L145"/>
    <mergeCell ref="K144:K145"/>
    <mergeCell ref="J144:J145"/>
    <mergeCell ref="I144:I145"/>
    <mergeCell ref="H144:H145"/>
    <mergeCell ref="G144:G145"/>
    <mergeCell ref="F144:F145"/>
    <mergeCell ref="E144:E145"/>
    <mergeCell ref="D144:D145"/>
    <mergeCell ref="B144:B146"/>
    <mergeCell ref="A144:A146"/>
    <mergeCell ref="AI141:AI142"/>
    <mergeCell ref="AH141:AH142"/>
    <mergeCell ref="AG141:AG142"/>
    <mergeCell ref="AF141:AF142"/>
    <mergeCell ref="AE141:AE142"/>
    <mergeCell ref="AD141:AD142"/>
    <mergeCell ref="AC141:AC142"/>
    <mergeCell ref="AB141:AB142"/>
    <mergeCell ref="AA141:AA142"/>
    <mergeCell ref="Z141:Z142"/>
    <mergeCell ref="Y141:Y142"/>
    <mergeCell ref="X141:X142"/>
    <mergeCell ref="W141:W142"/>
    <mergeCell ref="V141:V142"/>
    <mergeCell ref="U141:U142"/>
    <mergeCell ref="T141:T142"/>
    <mergeCell ref="S141:S142"/>
    <mergeCell ref="R141:R142"/>
    <mergeCell ref="Q141:Q142"/>
    <mergeCell ref="P141:P142"/>
    <mergeCell ref="O141:O142"/>
    <mergeCell ref="N141:N142"/>
    <mergeCell ref="M141:M142"/>
    <mergeCell ref="L141:L142"/>
    <mergeCell ref="K141:K142"/>
    <mergeCell ref="J141:J142"/>
    <mergeCell ref="I141:I142"/>
    <mergeCell ref="H141:H142"/>
    <mergeCell ref="G141:G142"/>
    <mergeCell ref="F141:F142"/>
    <mergeCell ref="E141:E142"/>
    <mergeCell ref="D141:D142"/>
    <mergeCell ref="B141:B143"/>
    <mergeCell ref="A141:A143"/>
    <mergeCell ref="AI138:AI139"/>
    <mergeCell ref="AH138:AH139"/>
    <mergeCell ref="AG138:AG139"/>
    <mergeCell ref="AF138:AF139"/>
    <mergeCell ref="AE138:AE139"/>
    <mergeCell ref="AD138:AD139"/>
    <mergeCell ref="AC138:AC139"/>
    <mergeCell ref="AB138:AB139"/>
    <mergeCell ref="AA138:AA139"/>
    <mergeCell ref="Z138:Z139"/>
    <mergeCell ref="Y138:Y139"/>
    <mergeCell ref="X138:X139"/>
    <mergeCell ref="W138:W139"/>
    <mergeCell ref="V138:V139"/>
    <mergeCell ref="U138:U139"/>
    <mergeCell ref="T138:T139"/>
    <mergeCell ref="S138:S139"/>
    <mergeCell ref="R138:R139"/>
    <mergeCell ref="Q138:Q139"/>
    <mergeCell ref="P138:P139"/>
    <mergeCell ref="O138:O139"/>
    <mergeCell ref="N138:N139"/>
    <mergeCell ref="M138:M139"/>
    <mergeCell ref="L138:L139"/>
    <mergeCell ref="K138:K139"/>
    <mergeCell ref="J138:J139"/>
    <mergeCell ref="I138:I139"/>
    <mergeCell ref="H138:H139"/>
    <mergeCell ref="G138:G139"/>
    <mergeCell ref="F138:F139"/>
    <mergeCell ref="E138:E139"/>
    <mergeCell ref="D138:D139"/>
    <mergeCell ref="B138:B140"/>
    <mergeCell ref="A138:A140"/>
    <mergeCell ref="AI135:AI136"/>
    <mergeCell ref="AH135:AH136"/>
    <mergeCell ref="AG135:AG136"/>
    <mergeCell ref="AF135:AF136"/>
    <mergeCell ref="AE135:AE136"/>
    <mergeCell ref="AD135:AD136"/>
    <mergeCell ref="AC135:AC136"/>
    <mergeCell ref="AB135:AB136"/>
    <mergeCell ref="AA135:AA136"/>
    <mergeCell ref="Z135:Z136"/>
    <mergeCell ref="Y135:Y136"/>
    <mergeCell ref="X135:X136"/>
    <mergeCell ref="W135:W136"/>
    <mergeCell ref="V135:V136"/>
    <mergeCell ref="U135:U136"/>
    <mergeCell ref="T135:T136"/>
    <mergeCell ref="S135:S136"/>
    <mergeCell ref="R135:R136"/>
    <mergeCell ref="Q135:Q136"/>
    <mergeCell ref="P135:P136"/>
    <mergeCell ref="O135:O136"/>
    <mergeCell ref="N135:N136"/>
    <mergeCell ref="M135:M136"/>
    <mergeCell ref="L135:L136"/>
    <mergeCell ref="K135:K136"/>
    <mergeCell ref="J135:J136"/>
    <mergeCell ref="I135:I136"/>
    <mergeCell ref="H135:H136"/>
    <mergeCell ref="G135:G136"/>
    <mergeCell ref="F135:F136"/>
    <mergeCell ref="E135:E136"/>
    <mergeCell ref="D135:D136"/>
    <mergeCell ref="B135:B137"/>
    <mergeCell ref="A135:A137"/>
    <mergeCell ref="AI132:AI133"/>
    <mergeCell ref="AH132:AH133"/>
    <mergeCell ref="AG132:AG133"/>
    <mergeCell ref="AF132:AF133"/>
    <mergeCell ref="AE132:AE133"/>
    <mergeCell ref="AD132:AD133"/>
    <mergeCell ref="AC132:AC133"/>
    <mergeCell ref="AB132:AB133"/>
    <mergeCell ref="AA132:AA133"/>
    <mergeCell ref="Z132:Z133"/>
    <mergeCell ref="Y132:Y133"/>
    <mergeCell ref="X132:X133"/>
    <mergeCell ref="W132:W133"/>
    <mergeCell ref="V132:V133"/>
    <mergeCell ref="U132:U133"/>
    <mergeCell ref="T132:T133"/>
    <mergeCell ref="S132:S133"/>
    <mergeCell ref="R132:R133"/>
    <mergeCell ref="Q132:Q133"/>
    <mergeCell ref="P132:P133"/>
    <mergeCell ref="O132:O133"/>
    <mergeCell ref="N132:N133"/>
    <mergeCell ref="M132:M133"/>
    <mergeCell ref="L132:L133"/>
    <mergeCell ref="K132:K133"/>
    <mergeCell ref="J132:J133"/>
    <mergeCell ref="I132:I133"/>
    <mergeCell ref="H132:H133"/>
    <mergeCell ref="G132:G133"/>
    <mergeCell ref="F132:F133"/>
    <mergeCell ref="E132:E133"/>
    <mergeCell ref="D132:D133"/>
    <mergeCell ref="B132:B134"/>
    <mergeCell ref="A132:A134"/>
    <mergeCell ref="AI129:AI130"/>
    <mergeCell ref="AH129:AH130"/>
    <mergeCell ref="AG129:AG130"/>
    <mergeCell ref="AF129:AF130"/>
    <mergeCell ref="AE129:AE130"/>
    <mergeCell ref="AD129:AD130"/>
    <mergeCell ref="AC129:AC130"/>
    <mergeCell ref="AB129:AB130"/>
    <mergeCell ref="AA129:AA130"/>
    <mergeCell ref="Z129:Z130"/>
    <mergeCell ref="Y129:Y130"/>
    <mergeCell ref="X129:X130"/>
    <mergeCell ref="W129:W130"/>
    <mergeCell ref="V129:V130"/>
    <mergeCell ref="U129:U130"/>
    <mergeCell ref="T129:T130"/>
    <mergeCell ref="S129:S130"/>
    <mergeCell ref="R129:R130"/>
    <mergeCell ref="Q129:Q130"/>
    <mergeCell ref="P129:P130"/>
    <mergeCell ref="O129:O130"/>
    <mergeCell ref="N129:N130"/>
    <mergeCell ref="M129:M130"/>
    <mergeCell ref="L129:L130"/>
    <mergeCell ref="K129:K130"/>
    <mergeCell ref="J129:J130"/>
    <mergeCell ref="I129:I130"/>
    <mergeCell ref="H129:H130"/>
    <mergeCell ref="G129:G130"/>
    <mergeCell ref="F129:F130"/>
    <mergeCell ref="E129:E130"/>
    <mergeCell ref="D129:D130"/>
    <mergeCell ref="B129:B131"/>
    <mergeCell ref="A129:A131"/>
    <mergeCell ref="AI126:AI127"/>
    <mergeCell ref="AH126:AH127"/>
    <mergeCell ref="AG126:AG127"/>
    <mergeCell ref="AF126:AF127"/>
    <mergeCell ref="AE126:AE127"/>
    <mergeCell ref="AD126:AD127"/>
    <mergeCell ref="AC126:AC127"/>
    <mergeCell ref="AB126:AB127"/>
    <mergeCell ref="AA126:AA127"/>
    <mergeCell ref="Z126:Z127"/>
    <mergeCell ref="Y126:Y127"/>
    <mergeCell ref="X126:X127"/>
    <mergeCell ref="W126:W127"/>
    <mergeCell ref="V126:V127"/>
    <mergeCell ref="U126:U127"/>
    <mergeCell ref="T126:T127"/>
    <mergeCell ref="S126:S127"/>
    <mergeCell ref="R126:R127"/>
    <mergeCell ref="Q126:Q127"/>
    <mergeCell ref="P126:P127"/>
    <mergeCell ref="O126:O127"/>
    <mergeCell ref="N126:N127"/>
    <mergeCell ref="M126:M127"/>
    <mergeCell ref="L126:L127"/>
    <mergeCell ref="K126:K127"/>
    <mergeCell ref="J126:J127"/>
    <mergeCell ref="I126:I127"/>
    <mergeCell ref="H126:H127"/>
    <mergeCell ref="G126:G127"/>
    <mergeCell ref="F126:F127"/>
    <mergeCell ref="E126:E127"/>
    <mergeCell ref="D126:D127"/>
    <mergeCell ref="B126:B128"/>
    <mergeCell ref="A126:A128"/>
    <mergeCell ref="AI123:AI124"/>
    <mergeCell ref="AH123:AH124"/>
    <mergeCell ref="AG123:AG124"/>
    <mergeCell ref="AF123:AF124"/>
    <mergeCell ref="AE123:AE124"/>
    <mergeCell ref="AD123:AD124"/>
    <mergeCell ref="AC123:AC124"/>
    <mergeCell ref="AB123:AB124"/>
    <mergeCell ref="AA123:AA124"/>
    <mergeCell ref="Z123:Z124"/>
    <mergeCell ref="Y123:Y124"/>
    <mergeCell ref="X123:X124"/>
    <mergeCell ref="W123:W124"/>
    <mergeCell ref="V123:V124"/>
    <mergeCell ref="U123:U124"/>
    <mergeCell ref="T123:T124"/>
    <mergeCell ref="S123:S124"/>
    <mergeCell ref="R123:R124"/>
    <mergeCell ref="Q123:Q124"/>
    <mergeCell ref="P123:P124"/>
    <mergeCell ref="O123:O124"/>
    <mergeCell ref="N123:N124"/>
    <mergeCell ref="M123:M124"/>
    <mergeCell ref="L123:L124"/>
    <mergeCell ref="K123:K124"/>
    <mergeCell ref="J123:J124"/>
    <mergeCell ref="I123:I124"/>
    <mergeCell ref="H123:H124"/>
    <mergeCell ref="G123:G124"/>
    <mergeCell ref="F123:F124"/>
    <mergeCell ref="E123:E124"/>
    <mergeCell ref="D123:D124"/>
    <mergeCell ref="B123:B125"/>
    <mergeCell ref="A123:A125"/>
    <mergeCell ref="AI120:AI121"/>
    <mergeCell ref="AH120:AH121"/>
    <mergeCell ref="AG120:AG121"/>
    <mergeCell ref="AF120:AF121"/>
    <mergeCell ref="AE120:AE121"/>
    <mergeCell ref="AD120:AD121"/>
    <mergeCell ref="AC120:AC121"/>
    <mergeCell ref="AB120:AB121"/>
    <mergeCell ref="AA120:AA121"/>
    <mergeCell ref="Z120:Z121"/>
    <mergeCell ref="Y120:Y121"/>
    <mergeCell ref="X120:X121"/>
    <mergeCell ref="W120:W121"/>
    <mergeCell ref="V120:V121"/>
    <mergeCell ref="U120:U121"/>
    <mergeCell ref="T120:T121"/>
    <mergeCell ref="S120:S121"/>
    <mergeCell ref="R120:R121"/>
    <mergeCell ref="Q120:Q121"/>
    <mergeCell ref="P120:P121"/>
    <mergeCell ref="O120:O121"/>
    <mergeCell ref="N120:N121"/>
    <mergeCell ref="M120:M121"/>
    <mergeCell ref="L120:L121"/>
    <mergeCell ref="K120:K121"/>
    <mergeCell ref="J120:J121"/>
    <mergeCell ref="I120:I121"/>
    <mergeCell ref="H120:H121"/>
    <mergeCell ref="G120:G121"/>
    <mergeCell ref="F120:F121"/>
    <mergeCell ref="E120:E121"/>
    <mergeCell ref="D120:D121"/>
    <mergeCell ref="B120:B122"/>
    <mergeCell ref="A120:A122"/>
    <mergeCell ref="AI117:AI118"/>
    <mergeCell ref="AH117:AH118"/>
    <mergeCell ref="AG117:AG118"/>
    <mergeCell ref="AF117:AF118"/>
    <mergeCell ref="AE117:AE118"/>
    <mergeCell ref="AD117:AD118"/>
    <mergeCell ref="AC117:AC118"/>
    <mergeCell ref="AB117:AB118"/>
    <mergeCell ref="AA117:AA118"/>
    <mergeCell ref="Z117:Z118"/>
    <mergeCell ref="Y117:Y118"/>
    <mergeCell ref="X117:X118"/>
    <mergeCell ref="W117:W118"/>
    <mergeCell ref="V117:V118"/>
    <mergeCell ref="U117:U118"/>
    <mergeCell ref="T117:T118"/>
    <mergeCell ref="S117:S118"/>
    <mergeCell ref="R117:R118"/>
    <mergeCell ref="Q117:Q118"/>
    <mergeCell ref="P117:P118"/>
    <mergeCell ref="O117:O118"/>
    <mergeCell ref="N117:N118"/>
    <mergeCell ref="M117:M118"/>
    <mergeCell ref="L117:L118"/>
    <mergeCell ref="K117:K118"/>
    <mergeCell ref="J117:J118"/>
    <mergeCell ref="I117:I118"/>
    <mergeCell ref="H117:H118"/>
    <mergeCell ref="G117:G118"/>
    <mergeCell ref="F117:F118"/>
    <mergeCell ref="E117:E118"/>
    <mergeCell ref="D117:D118"/>
    <mergeCell ref="B117:B119"/>
    <mergeCell ref="A117:A119"/>
    <mergeCell ref="AI114:AI115"/>
    <mergeCell ref="AH114:AH115"/>
    <mergeCell ref="AG114:AG115"/>
    <mergeCell ref="AF114:AF115"/>
    <mergeCell ref="AE114:AE115"/>
    <mergeCell ref="AD114:AD115"/>
    <mergeCell ref="AC114:AC115"/>
    <mergeCell ref="AB114:AB115"/>
    <mergeCell ref="AA114:AA115"/>
    <mergeCell ref="Z114:Z115"/>
    <mergeCell ref="Y114:Y115"/>
    <mergeCell ref="X114:X115"/>
    <mergeCell ref="W114:W115"/>
    <mergeCell ref="V114:V115"/>
    <mergeCell ref="U114:U115"/>
    <mergeCell ref="T114:T115"/>
    <mergeCell ref="S114:S115"/>
    <mergeCell ref="R114:R115"/>
    <mergeCell ref="Q114:Q115"/>
    <mergeCell ref="P114:P115"/>
    <mergeCell ref="O114:O115"/>
    <mergeCell ref="N114:N115"/>
    <mergeCell ref="M114:M115"/>
    <mergeCell ref="L114:L115"/>
    <mergeCell ref="K114:K115"/>
    <mergeCell ref="J114:J115"/>
    <mergeCell ref="I114:I115"/>
    <mergeCell ref="H114:H115"/>
    <mergeCell ref="G114:G115"/>
    <mergeCell ref="F114:F115"/>
    <mergeCell ref="E114:E115"/>
    <mergeCell ref="D114:D115"/>
    <mergeCell ref="B114:B116"/>
    <mergeCell ref="A114:A116"/>
    <mergeCell ref="AI111:AI112"/>
    <mergeCell ref="AH111:AH112"/>
    <mergeCell ref="AG111:AG112"/>
    <mergeCell ref="AF111:AF112"/>
    <mergeCell ref="AE111:AE112"/>
    <mergeCell ref="AD111:AD112"/>
    <mergeCell ref="AC111:AC112"/>
    <mergeCell ref="AB111:AB112"/>
    <mergeCell ref="AA111:AA112"/>
    <mergeCell ref="Z111:Z112"/>
    <mergeCell ref="Y111:Y112"/>
    <mergeCell ref="X111:X112"/>
    <mergeCell ref="W111:W112"/>
    <mergeCell ref="V111:V112"/>
    <mergeCell ref="U111:U112"/>
    <mergeCell ref="T111:T112"/>
    <mergeCell ref="S111:S112"/>
    <mergeCell ref="R111:R112"/>
    <mergeCell ref="Q111:Q112"/>
    <mergeCell ref="P111:P112"/>
    <mergeCell ref="O111:O112"/>
    <mergeCell ref="N111:N112"/>
    <mergeCell ref="M111:M112"/>
    <mergeCell ref="L111:L112"/>
    <mergeCell ref="K111:K112"/>
    <mergeCell ref="J111:J112"/>
    <mergeCell ref="I111:I112"/>
    <mergeCell ref="H111:H112"/>
    <mergeCell ref="G111:G112"/>
    <mergeCell ref="F111:F112"/>
    <mergeCell ref="E111:E112"/>
    <mergeCell ref="D111:D112"/>
    <mergeCell ref="B111:B113"/>
    <mergeCell ref="A111:A113"/>
  </mergeCells>
  <phoneticPr fontId="8" type="noConversion"/>
  <pageMargins left="0.7" right="0.7" top="0.75" bottom="0.75" header="0.3" footer="0.3"/>
  <pageSetup paperSize="9" scale="35" orientation="landscape" horizontalDpi="0" verticalDpi="0" copies="2"/>
  <colBreaks count="1" manualBreakCount="1">
    <brk id="53" max="1048575" man="1"/>
  </colBreak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VB ROM</vt:lpstr>
      <vt:lpstr>'VB ROM'!Print_Area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2025-02-03T08:31:39Z</cp:lastPrinted>
  <dcterms:created xsi:type="dcterms:W3CDTF">2021-04-27T08:55:34Z</dcterms:created>
  <dcterms:modified xsi:type="dcterms:W3CDTF">2025-11-14T12:03:27Z</dcterms:modified>
</cp:coreProperties>
</file>