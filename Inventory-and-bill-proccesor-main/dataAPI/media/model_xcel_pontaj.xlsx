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helake/Documents/GitHub/pontaj-back-end/pontaj/media/"/>
    </mc:Choice>
  </mc:AlternateContent>
  <xr:revisionPtr revIDLastSave="0" documentId="13_ncr:1_{34A1C946-69AF-4D45-BD2B-61C9A7B225B4}" xr6:coauthVersionLast="47" xr6:coauthVersionMax="47" xr10:uidLastSave="{00000000-0000-0000-0000-000000000000}"/>
  <bookViews>
    <workbookView xWindow="0" yWindow="500" windowWidth="51200" windowHeight="26260" xr2:uid="{00000000-000D-0000-FFFF-FFFF00000000}"/>
  </bookViews>
  <sheets>
    <sheet name="VB ROM" sheetId="9" r:id="rId1"/>
  </sheets>
  <definedNames>
    <definedName name="_xlnm.Print_Area" localSheetId="0">'VB ROM'!$A$5:$AS$68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M351" i="9" l="1"/>
  <c r="AM348" i="9"/>
  <c r="AI351" i="9"/>
  <c r="AI375" i="9"/>
  <c r="AM378" i="9"/>
  <c r="AI378" i="9"/>
  <c r="AM375" i="9"/>
  <c r="AM372" i="9"/>
  <c r="AI372" i="9"/>
  <c r="AM369" i="9"/>
  <c r="AI369" i="9"/>
  <c r="AM366" i="9"/>
  <c r="AI366" i="9"/>
  <c r="AM363" i="9"/>
  <c r="AI363" i="9"/>
  <c r="AM360" i="9"/>
  <c r="AI360" i="9"/>
  <c r="AM357" i="9"/>
  <c r="AI357" i="9"/>
  <c r="AM354" i="9"/>
  <c r="AI354" i="9"/>
  <c r="AI348" i="9"/>
  <c r="AM345" i="9"/>
  <c r="AI345" i="9"/>
  <c r="AM342" i="9"/>
  <c r="AI342" i="9"/>
  <c r="AM339" i="9"/>
  <c r="AI339" i="9"/>
  <c r="AM336" i="9"/>
  <c r="AI336" i="9"/>
  <c r="AM333" i="9"/>
  <c r="AI333" i="9"/>
  <c r="AM330" i="9"/>
  <c r="AI330" i="9"/>
  <c r="AM327" i="9"/>
  <c r="AI327" i="9"/>
  <c r="AM324" i="9"/>
  <c r="AI324" i="9"/>
  <c r="AM321" i="9"/>
  <c r="AI321" i="9"/>
  <c r="AM318" i="9"/>
  <c r="AI318" i="9"/>
  <c r="AM315" i="9"/>
  <c r="AI315" i="9"/>
  <c r="AM312" i="9"/>
  <c r="AI312" i="9"/>
  <c r="AM309" i="9"/>
  <c r="AI309" i="9"/>
  <c r="AM306" i="9"/>
  <c r="AI306" i="9"/>
  <c r="AM303" i="9"/>
  <c r="AI303" i="9"/>
  <c r="AM300" i="9"/>
  <c r="AI300" i="9"/>
  <c r="AM297" i="9"/>
  <c r="AI297" i="9"/>
  <c r="AM294" i="9"/>
  <c r="AI294" i="9"/>
  <c r="AM291" i="9"/>
  <c r="AI291" i="9"/>
  <c r="AM288" i="9"/>
  <c r="AI288" i="9"/>
  <c r="AM285" i="9"/>
  <c r="AI285" i="9"/>
  <c r="AM282" i="9"/>
  <c r="AI282" i="9"/>
  <c r="AM279" i="9"/>
  <c r="AI279" i="9"/>
  <c r="AM276" i="9"/>
  <c r="AI276" i="9"/>
  <c r="AM273" i="9"/>
  <c r="AI273" i="9"/>
  <c r="AM270" i="9"/>
  <c r="AI270" i="9"/>
  <c r="AM267" i="9"/>
  <c r="AI267" i="9"/>
  <c r="AM264" i="9"/>
  <c r="AI264" i="9"/>
  <c r="AM261" i="9"/>
  <c r="AI261" i="9"/>
  <c r="AM258" i="9"/>
  <c r="AI258" i="9"/>
  <c r="AM255" i="9"/>
  <c r="AI255" i="9"/>
  <c r="AM252" i="9"/>
  <c r="AI252" i="9"/>
  <c r="AM249" i="9"/>
  <c r="AI249" i="9"/>
  <c r="AM246" i="9"/>
  <c r="AI246" i="9"/>
  <c r="AM243" i="9"/>
  <c r="AI243" i="9"/>
  <c r="AM240" i="9"/>
  <c r="AI240" i="9"/>
  <c r="AM237" i="9"/>
  <c r="AI237" i="9"/>
  <c r="AI234" i="9"/>
  <c r="AI231" i="9"/>
  <c r="AI228" i="9"/>
  <c r="AI225" i="9"/>
  <c r="AI222" i="9"/>
  <c r="AI219" i="9"/>
  <c r="AI216" i="9"/>
  <c r="AI213" i="9"/>
  <c r="AI210" i="9"/>
  <c r="AI207" i="9"/>
  <c r="AI204" i="9"/>
  <c r="AI201" i="9"/>
  <c r="AI198" i="9"/>
  <c r="AI195" i="9"/>
  <c r="AI192" i="9"/>
  <c r="AI189" i="9"/>
  <c r="AI186" i="9"/>
  <c r="AI183" i="9"/>
  <c r="AI180" i="9"/>
  <c r="AI177" i="9"/>
  <c r="AI174" i="9"/>
  <c r="AI171" i="9"/>
  <c r="AI168" i="9"/>
  <c r="AI165" i="9"/>
  <c r="AI162" i="9"/>
  <c r="AI159" i="9"/>
  <c r="AI156" i="9"/>
  <c r="AI153" i="9"/>
  <c r="AI150" i="9"/>
  <c r="AI147" i="9"/>
  <c r="AI144" i="9"/>
  <c r="AI141" i="9"/>
  <c r="AI138" i="9"/>
  <c r="AI135" i="9"/>
  <c r="AI81" i="9"/>
  <c r="AI78" i="9"/>
  <c r="AI132" i="9"/>
  <c r="AI129" i="9"/>
  <c r="AI126" i="9"/>
  <c r="AI123" i="9"/>
  <c r="AI120" i="9"/>
  <c r="AI117" i="9"/>
  <c r="AI114" i="9"/>
  <c r="AI111" i="9"/>
  <c r="AI108" i="9"/>
  <c r="AI105" i="9"/>
  <c r="AI102" i="9"/>
  <c r="AI99" i="9"/>
  <c r="AI96" i="9"/>
  <c r="AI93" i="9"/>
  <c r="AI90" i="9"/>
  <c r="AI87" i="9"/>
  <c r="AI84" i="9"/>
  <c r="AI75" i="9"/>
  <c r="AI72" i="9"/>
  <c r="AI69" i="9"/>
  <c r="AI66" i="9"/>
  <c r="AM234" i="9"/>
  <c r="AM231" i="9"/>
  <c r="AM228" i="9"/>
  <c r="AM225" i="9"/>
  <c r="AM222" i="9"/>
  <c r="AM219" i="9"/>
  <c r="AM216" i="9"/>
  <c r="AM213" i="9"/>
  <c r="AM210" i="9"/>
  <c r="AM207" i="9"/>
  <c r="AM204" i="9"/>
  <c r="AM201" i="9"/>
  <c r="AM198" i="9"/>
  <c r="AM195" i="9"/>
  <c r="AM192" i="9"/>
  <c r="AM189" i="9"/>
  <c r="AM186" i="9"/>
  <c r="AM183" i="9"/>
  <c r="AM180" i="9"/>
  <c r="AM177" i="9"/>
  <c r="AM174" i="9"/>
  <c r="AM171" i="9"/>
  <c r="AM168" i="9"/>
  <c r="AM165" i="9"/>
  <c r="AM162" i="9"/>
  <c r="AM159" i="9"/>
  <c r="AM156" i="9"/>
  <c r="AM153" i="9"/>
  <c r="AM150" i="9"/>
  <c r="AM147" i="9"/>
  <c r="AM144" i="9"/>
  <c r="AM141" i="9"/>
  <c r="AM138" i="9"/>
  <c r="AM135" i="9"/>
  <c r="AM132" i="9"/>
  <c r="AM129" i="9"/>
  <c r="AM126" i="9"/>
  <c r="AM123" i="9"/>
  <c r="AM120" i="9"/>
  <c r="AM117" i="9"/>
  <c r="AM114" i="9"/>
  <c r="AM111" i="9"/>
  <c r="AV5" i="9"/>
  <c r="AV4" i="9"/>
  <c r="AV3" i="9"/>
  <c r="AV2" i="9"/>
  <c r="AQ4" i="9"/>
  <c r="AQ2" i="9"/>
  <c r="CY9" i="9"/>
  <c r="CX9" i="9"/>
  <c r="CW9" i="9"/>
  <c r="CV9" i="9"/>
  <c r="CU9" i="9"/>
  <c r="CS9" i="9"/>
  <c r="CP10" i="9"/>
  <c r="CQ10" i="9" s="1"/>
  <c r="CP11" i="9"/>
  <c r="CQ11" i="9" s="1"/>
  <c r="CP12" i="9"/>
  <c r="CQ12" i="9" s="1"/>
  <c r="CP13" i="9"/>
  <c r="CQ13" i="9" s="1"/>
  <c r="CP14" i="9"/>
  <c r="CQ14" i="9" s="1"/>
  <c r="CP15" i="9"/>
  <c r="CQ15" i="9" s="1"/>
  <c r="CP16" i="9"/>
  <c r="CQ16" i="9" s="1"/>
  <c r="CP17" i="9"/>
  <c r="CQ17" i="9" s="1"/>
  <c r="CP18" i="9"/>
  <c r="CQ18" i="9" s="1"/>
  <c r="CP19" i="9"/>
  <c r="CQ19" i="9" s="1"/>
  <c r="CP20" i="9"/>
  <c r="CQ20" i="9" s="1"/>
  <c r="CP21" i="9"/>
  <c r="CQ21" i="9" s="1"/>
  <c r="CP22" i="9"/>
  <c r="CQ22" i="9" s="1"/>
  <c r="CP23" i="9"/>
  <c r="CQ23" i="9" s="1"/>
  <c r="CP24" i="9"/>
  <c r="CQ24" i="9" s="1"/>
  <c r="CP25" i="9"/>
  <c r="CQ25" i="9" s="1"/>
  <c r="CP26" i="9"/>
  <c r="CQ26" i="9" s="1"/>
  <c r="CP27" i="9"/>
  <c r="CQ27" i="9" s="1"/>
  <c r="CP28" i="9"/>
  <c r="CQ28" i="9" s="1"/>
  <c r="CP29" i="9"/>
  <c r="CQ29" i="9" s="1"/>
  <c r="CP30" i="9"/>
  <c r="CQ30" i="9" s="1"/>
  <c r="CP31" i="9"/>
  <c r="CQ31" i="9" s="1"/>
  <c r="CP32" i="9"/>
  <c r="CQ32" i="9" s="1"/>
  <c r="CP33" i="9"/>
  <c r="CQ33" i="9" s="1"/>
  <c r="CP34" i="9"/>
  <c r="CQ34" i="9" s="1"/>
  <c r="CP35" i="9"/>
  <c r="CQ35" i="9" s="1"/>
  <c r="CP36" i="9"/>
  <c r="CQ36" i="9" s="1"/>
  <c r="CP37" i="9"/>
  <c r="CQ37" i="9" s="1"/>
  <c r="CP38" i="9"/>
  <c r="CQ38" i="9" s="1"/>
  <c r="CP39" i="9"/>
  <c r="CQ39" i="9" s="1"/>
  <c r="CP40" i="9"/>
  <c r="CQ40" i="9" s="1"/>
  <c r="CP41" i="9"/>
  <c r="CQ41" i="9" s="1"/>
  <c r="CP42" i="9"/>
  <c r="CQ42" i="9" s="1"/>
  <c r="CP43" i="9"/>
  <c r="CQ43" i="9" s="1"/>
  <c r="CP44" i="9"/>
  <c r="CQ44" i="9" s="1"/>
  <c r="CP45" i="9"/>
  <c r="CQ45" i="9" s="1"/>
  <c r="CP46" i="9"/>
  <c r="CQ46" i="9" s="1"/>
  <c r="CP47" i="9"/>
  <c r="CQ47" i="9" s="1"/>
  <c r="CP48" i="9"/>
  <c r="CQ48" i="9" s="1"/>
  <c r="CP49" i="9"/>
  <c r="CQ49" i="9" s="1"/>
  <c r="CP50" i="9"/>
  <c r="CQ50" i="9" s="1"/>
  <c r="CP51" i="9"/>
  <c r="CQ51" i="9" s="1"/>
  <c r="CP52" i="9"/>
  <c r="CQ52" i="9" s="1"/>
  <c r="CP53" i="9"/>
  <c r="CQ53" i="9" s="1"/>
  <c r="CP54" i="9"/>
  <c r="CQ54" i="9" s="1"/>
  <c r="CP55" i="9"/>
  <c r="CQ55" i="9" s="1"/>
  <c r="CP56" i="9"/>
  <c r="CQ56" i="9" s="1"/>
  <c r="CP57" i="9"/>
  <c r="CQ57" i="9" s="1"/>
  <c r="CP58" i="9"/>
  <c r="CQ58" i="9" s="1"/>
  <c r="CP59" i="9"/>
  <c r="CQ59" i="9" s="1"/>
  <c r="CP60" i="9"/>
  <c r="CQ60" i="9" s="1"/>
  <c r="CP61" i="9"/>
  <c r="CQ61" i="9" s="1"/>
  <c r="CP62" i="9"/>
  <c r="CQ62" i="9" s="1"/>
  <c r="CP63" i="9"/>
  <c r="CQ63" i="9" s="1"/>
  <c r="CP64" i="9"/>
  <c r="CQ64" i="9" s="1"/>
  <c r="CP65" i="9"/>
  <c r="CQ65" i="9" s="1"/>
  <c r="CP66" i="9"/>
  <c r="CQ66" i="9" s="1"/>
  <c r="CP67" i="9"/>
  <c r="CQ67" i="9" s="1"/>
  <c r="CP68" i="9"/>
  <c r="CQ68" i="9" s="1"/>
  <c r="CP69" i="9"/>
  <c r="CQ69" i="9" s="1"/>
  <c r="CP70" i="9"/>
  <c r="CQ70" i="9" s="1"/>
  <c r="CP71" i="9"/>
  <c r="CQ71" i="9" s="1"/>
  <c r="CP72" i="9"/>
  <c r="CQ72" i="9" s="1"/>
  <c r="CP73" i="9"/>
  <c r="CQ73" i="9" s="1"/>
  <c r="CP74" i="9"/>
  <c r="CQ74" i="9" s="1"/>
  <c r="CP75" i="9"/>
  <c r="CQ75" i="9" s="1"/>
  <c r="CP76" i="9"/>
  <c r="CQ76" i="9" s="1"/>
  <c r="CP77" i="9"/>
  <c r="CQ77" i="9" s="1"/>
  <c r="CP78" i="9"/>
  <c r="CQ78" i="9" s="1"/>
  <c r="CP79" i="9"/>
  <c r="CQ79" i="9" s="1"/>
  <c r="CP80" i="9"/>
  <c r="CQ80" i="9" s="1"/>
  <c r="CP81" i="9"/>
  <c r="CQ81" i="9" s="1"/>
  <c r="CP82" i="9"/>
  <c r="CQ82" i="9" s="1"/>
  <c r="CP83" i="9"/>
  <c r="CQ83" i="9" s="1"/>
  <c r="CP84" i="9"/>
  <c r="CQ84" i="9" s="1"/>
  <c r="CP85" i="9"/>
  <c r="CQ85" i="9" s="1"/>
  <c r="CP86" i="9"/>
  <c r="CQ86" i="9" s="1"/>
  <c r="CP87" i="9"/>
  <c r="CQ87" i="9" s="1"/>
  <c r="CP88" i="9"/>
  <c r="CQ88" i="9" s="1"/>
  <c r="CP89" i="9"/>
  <c r="CQ89" i="9" s="1"/>
  <c r="CP90" i="9"/>
  <c r="CQ90" i="9" s="1"/>
  <c r="CP91" i="9"/>
  <c r="CQ91" i="9" s="1"/>
  <c r="CP92" i="9"/>
  <c r="CQ92" i="9" s="1"/>
  <c r="CP93" i="9"/>
  <c r="CQ93" i="9" s="1"/>
  <c r="CP94" i="9"/>
  <c r="CQ94" i="9" s="1"/>
  <c r="CP95" i="9"/>
  <c r="CQ95" i="9" s="1"/>
  <c r="CP96" i="9"/>
  <c r="CQ96" i="9" s="1"/>
  <c r="CP97" i="9"/>
  <c r="CQ97" i="9" s="1"/>
  <c r="CP98" i="9"/>
  <c r="CQ98" i="9" s="1"/>
  <c r="CP99" i="9"/>
  <c r="CQ99" i="9" s="1"/>
  <c r="CP100" i="9"/>
  <c r="CQ100" i="9" s="1"/>
  <c r="CP101" i="9"/>
  <c r="CQ101" i="9" s="1"/>
  <c r="CP102" i="9"/>
  <c r="CQ102" i="9" s="1"/>
  <c r="CP103" i="9"/>
  <c r="CQ103" i="9" s="1"/>
  <c r="CP104" i="9"/>
  <c r="CQ104" i="9" s="1"/>
  <c r="CP105" i="9"/>
  <c r="CQ105" i="9" s="1"/>
  <c r="CP106" i="9"/>
  <c r="CQ106" i="9" s="1"/>
  <c r="CP107" i="9"/>
  <c r="CQ107" i="9" s="1"/>
  <c r="CP108" i="9"/>
  <c r="CQ108" i="9" s="1"/>
  <c r="CP109" i="9"/>
  <c r="CQ109" i="9" s="1"/>
  <c r="CP110" i="9"/>
  <c r="CQ110" i="9" s="1"/>
  <c r="CP9" i="9"/>
  <c r="CQ9" i="9" s="1"/>
  <c r="CN10" i="9"/>
  <c r="CO10" i="9" s="1"/>
  <c r="CN11" i="9"/>
  <c r="CO11" i="9" s="1"/>
  <c r="CN12" i="9"/>
  <c r="CO12" i="9" s="1"/>
  <c r="CN13" i="9"/>
  <c r="CO13" i="9" s="1"/>
  <c r="CN14" i="9"/>
  <c r="CO14" i="9" s="1"/>
  <c r="CN15" i="9"/>
  <c r="CO15" i="9" s="1"/>
  <c r="CN16" i="9"/>
  <c r="CO16" i="9" s="1"/>
  <c r="CN17" i="9"/>
  <c r="CO17" i="9" s="1"/>
  <c r="CN18" i="9"/>
  <c r="CO18" i="9" s="1"/>
  <c r="CN19" i="9"/>
  <c r="CO19" i="9" s="1"/>
  <c r="CN20" i="9"/>
  <c r="CO20" i="9" s="1"/>
  <c r="CN21" i="9"/>
  <c r="CO21" i="9" s="1"/>
  <c r="CN22" i="9"/>
  <c r="CO22" i="9" s="1"/>
  <c r="CN23" i="9"/>
  <c r="CO23" i="9" s="1"/>
  <c r="CN24" i="9"/>
  <c r="CO24" i="9" s="1"/>
  <c r="CN25" i="9"/>
  <c r="CO25" i="9" s="1"/>
  <c r="CN26" i="9"/>
  <c r="CO26" i="9" s="1"/>
  <c r="CN27" i="9"/>
  <c r="CO27" i="9" s="1"/>
  <c r="CN28" i="9"/>
  <c r="CO28" i="9" s="1"/>
  <c r="CN29" i="9"/>
  <c r="CO29" i="9" s="1"/>
  <c r="CN30" i="9"/>
  <c r="CO30" i="9" s="1"/>
  <c r="CN31" i="9"/>
  <c r="CO31" i="9" s="1"/>
  <c r="CN32" i="9"/>
  <c r="CO32" i="9" s="1"/>
  <c r="CN33" i="9"/>
  <c r="CO33" i="9" s="1"/>
  <c r="CN34" i="9"/>
  <c r="CO34" i="9" s="1"/>
  <c r="CN35" i="9"/>
  <c r="CO35" i="9" s="1"/>
  <c r="CN36" i="9"/>
  <c r="CO36" i="9" s="1"/>
  <c r="CN37" i="9"/>
  <c r="CO37" i="9" s="1"/>
  <c r="CN38" i="9"/>
  <c r="CO38" i="9" s="1"/>
  <c r="CN39" i="9"/>
  <c r="CO39" i="9" s="1"/>
  <c r="CN40" i="9"/>
  <c r="CO40" i="9" s="1"/>
  <c r="CN41" i="9"/>
  <c r="CO41" i="9" s="1"/>
  <c r="CN42" i="9"/>
  <c r="CO42" i="9" s="1"/>
  <c r="CN43" i="9"/>
  <c r="CO43" i="9" s="1"/>
  <c r="CN44" i="9"/>
  <c r="CO44" i="9" s="1"/>
  <c r="CN45" i="9"/>
  <c r="CO45" i="9" s="1"/>
  <c r="CN46" i="9"/>
  <c r="CO46" i="9" s="1"/>
  <c r="CN47" i="9"/>
  <c r="CO47" i="9" s="1"/>
  <c r="CN48" i="9"/>
  <c r="CO48" i="9" s="1"/>
  <c r="CN49" i="9"/>
  <c r="CO49" i="9" s="1"/>
  <c r="CN50" i="9"/>
  <c r="CO50" i="9" s="1"/>
  <c r="CN51" i="9"/>
  <c r="CO51" i="9" s="1"/>
  <c r="CN52" i="9"/>
  <c r="CO52" i="9" s="1"/>
  <c r="CN53" i="9"/>
  <c r="CO53" i="9" s="1"/>
  <c r="CN54" i="9"/>
  <c r="CO54" i="9" s="1"/>
  <c r="CN55" i="9"/>
  <c r="CO55" i="9" s="1"/>
  <c r="CN56" i="9"/>
  <c r="CO56" i="9" s="1"/>
  <c r="CN57" i="9"/>
  <c r="CO57" i="9" s="1"/>
  <c r="CN58" i="9"/>
  <c r="CO58" i="9" s="1"/>
  <c r="CN59" i="9"/>
  <c r="CO59" i="9" s="1"/>
  <c r="CN60" i="9"/>
  <c r="CO60" i="9" s="1"/>
  <c r="CN61" i="9"/>
  <c r="CO61" i="9" s="1"/>
  <c r="CN62" i="9"/>
  <c r="CO62" i="9" s="1"/>
  <c r="CN63" i="9"/>
  <c r="CO63" i="9" s="1"/>
  <c r="CN64" i="9"/>
  <c r="CO64" i="9" s="1"/>
  <c r="CN65" i="9"/>
  <c r="CO65" i="9" s="1"/>
  <c r="CN66" i="9"/>
  <c r="CO66" i="9" s="1"/>
  <c r="CN67" i="9"/>
  <c r="CO67" i="9" s="1"/>
  <c r="CN68" i="9"/>
  <c r="CO68" i="9" s="1"/>
  <c r="CN69" i="9"/>
  <c r="CO69" i="9" s="1"/>
  <c r="CN70" i="9"/>
  <c r="CO70" i="9" s="1"/>
  <c r="CN71" i="9"/>
  <c r="CO71" i="9" s="1"/>
  <c r="CN72" i="9"/>
  <c r="CO72" i="9" s="1"/>
  <c r="CN73" i="9"/>
  <c r="CO73" i="9" s="1"/>
  <c r="CN74" i="9"/>
  <c r="CO74" i="9" s="1"/>
  <c r="CN75" i="9"/>
  <c r="CO75" i="9" s="1"/>
  <c r="CN76" i="9"/>
  <c r="CO76" i="9" s="1"/>
  <c r="CN77" i="9"/>
  <c r="CO77" i="9" s="1"/>
  <c r="CN78" i="9"/>
  <c r="CO78" i="9" s="1"/>
  <c r="CN79" i="9"/>
  <c r="CO79" i="9" s="1"/>
  <c r="CN80" i="9"/>
  <c r="CO80" i="9" s="1"/>
  <c r="CN81" i="9"/>
  <c r="CO81" i="9" s="1"/>
  <c r="CN82" i="9"/>
  <c r="CO82" i="9" s="1"/>
  <c r="CN83" i="9"/>
  <c r="CO83" i="9" s="1"/>
  <c r="CN84" i="9"/>
  <c r="CO84" i="9" s="1"/>
  <c r="CN85" i="9"/>
  <c r="CO85" i="9" s="1"/>
  <c r="CN86" i="9"/>
  <c r="CO86" i="9" s="1"/>
  <c r="CN87" i="9"/>
  <c r="CO87" i="9" s="1"/>
  <c r="CN88" i="9"/>
  <c r="CO88" i="9" s="1"/>
  <c r="CN89" i="9"/>
  <c r="CO89" i="9" s="1"/>
  <c r="CN90" i="9"/>
  <c r="CO90" i="9" s="1"/>
  <c r="CN91" i="9"/>
  <c r="CO91" i="9" s="1"/>
  <c r="CN92" i="9"/>
  <c r="CO92" i="9" s="1"/>
  <c r="CN93" i="9"/>
  <c r="CO93" i="9" s="1"/>
  <c r="CN94" i="9"/>
  <c r="CO94" i="9" s="1"/>
  <c r="CN95" i="9"/>
  <c r="CO95" i="9" s="1"/>
  <c r="CN96" i="9"/>
  <c r="CO96" i="9" s="1"/>
  <c r="CN97" i="9"/>
  <c r="CO97" i="9" s="1"/>
  <c r="CN98" i="9"/>
  <c r="CO98" i="9" s="1"/>
  <c r="CN99" i="9"/>
  <c r="CO99" i="9" s="1"/>
  <c r="CN100" i="9"/>
  <c r="CO100" i="9" s="1"/>
  <c r="CN101" i="9"/>
  <c r="CO101" i="9" s="1"/>
  <c r="CN102" i="9"/>
  <c r="CO102" i="9" s="1"/>
  <c r="CN103" i="9"/>
  <c r="CO103" i="9" s="1"/>
  <c r="CN104" i="9"/>
  <c r="CO104" i="9" s="1"/>
  <c r="CN105" i="9"/>
  <c r="CO105" i="9" s="1"/>
  <c r="CN106" i="9"/>
  <c r="CO106" i="9" s="1"/>
  <c r="CN107" i="9"/>
  <c r="CO107" i="9" s="1"/>
  <c r="CN108" i="9"/>
  <c r="CO108" i="9" s="1"/>
  <c r="CN109" i="9"/>
  <c r="CO109" i="9" s="1"/>
  <c r="CN110" i="9"/>
  <c r="CO110" i="9" s="1"/>
  <c r="CN9" i="9"/>
  <c r="CO9" i="9" s="1"/>
  <c r="CL10" i="9"/>
  <c r="CM10" i="9" s="1"/>
  <c r="CL11" i="9"/>
  <c r="CM11" i="9" s="1"/>
  <c r="CL12" i="9"/>
  <c r="CM12" i="9" s="1"/>
  <c r="CL13" i="9"/>
  <c r="CM13" i="9" s="1"/>
  <c r="CL14" i="9"/>
  <c r="CM14" i="9" s="1"/>
  <c r="CL15" i="9"/>
  <c r="CM15" i="9" s="1"/>
  <c r="CL16" i="9"/>
  <c r="CM16" i="9" s="1"/>
  <c r="CL17" i="9"/>
  <c r="CM17" i="9" s="1"/>
  <c r="CL18" i="9"/>
  <c r="CM18" i="9" s="1"/>
  <c r="CL19" i="9"/>
  <c r="CM19" i="9" s="1"/>
  <c r="CL20" i="9"/>
  <c r="CM20" i="9" s="1"/>
  <c r="CL21" i="9"/>
  <c r="CM21" i="9" s="1"/>
  <c r="CL22" i="9"/>
  <c r="CM22" i="9" s="1"/>
  <c r="CL23" i="9"/>
  <c r="CM23" i="9" s="1"/>
  <c r="CL24" i="9"/>
  <c r="CM24" i="9" s="1"/>
  <c r="CL25" i="9"/>
  <c r="CM25" i="9" s="1"/>
  <c r="CL26" i="9"/>
  <c r="CM26" i="9" s="1"/>
  <c r="CL27" i="9"/>
  <c r="CM27" i="9" s="1"/>
  <c r="CL28" i="9"/>
  <c r="CM28" i="9" s="1"/>
  <c r="CL29" i="9"/>
  <c r="CM29" i="9" s="1"/>
  <c r="CL30" i="9"/>
  <c r="CM30" i="9" s="1"/>
  <c r="CL31" i="9"/>
  <c r="CM31" i="9" s="1"/>
  <c r="CL32" i="9"/>
  <c r="CM32" i="9" s="1"/>
  <c r="CL33" i="9"/>
  <c r="CM33" i="9" s="1"/>
  <c r="CL34" i="9"/>
  <c r="CM34" i="9" s="1"/>
  <c r="CL35" i="9"/>
  <c r="CM35" i="9" s="1"/>
  <c r="CL36" i="9"/>
  <c r="CM36" i="9" s="1"/>
  <c r="CL37" i="9"/>
  <c r="CM37" i="9" s="1"/>
  <c r="CL38" i="9"/>
  <c r="CM38" i="9" s="1"/>
  <c r="CL39" i="9"/>
  <c r="CM39" i="9" s="1"/>
  <c r="CL40" i="9"/>
  <c r="CM40" i="9" s="1"/>
  <c r="CL41" i="9"/>
  <c r="CM41" i="9" s="1"/>
  <c r="CL42" i="9"/>
  <c r="CM42" i="9" s="1"/>
  <c r="CL43" i="9"/>
  <c r="CM43" i="9" s="1"/>
  <c r="CL44" i="9"/>
  <c r="CM44" i="9" s="1"/>
  <c r="CL45" i="9"/>
  <c r="CM45" i="9" s="1"/>
  <c r="CL46" i="9"/>
  <c r="CM46" i="9" s="1"/>
  <c r="CL47" i="9"/>
  <c r="CM47" i="9" s="1"/>
  <c r="CL48" i="9"/>
  <c r="CM48" i="9" s="1"/>
  <c r="CL49" i="9"/>
  <c r="CM49" i="9" s="1"/>
  <c r="CL50" i="9"/>
  <c r="CM50" i="9" s="1"/>
  <c r="CL51" i="9"/>
  <c r="CM51" i="9" s="1"/>
  <c r="CL52" i="9"/>
  <c r="CM52" i="9" s="1"/>
  <c r="CL53" i="9"/>
  <c r="CM53" i="9" s="1"/>
  <c r="CL54" i="9"/>
  <c r="CM54" i="9" s="1"/>
  <c r="CL55" i="9"/>
  <c r="CM55" i="9" s="1"/>
  <c r="CL56" i="9"/>
  <c r="CM56" i="9" s="1"/>
  <c r="CL57" i="9"/>
  <c r="CM57" i="9" s="1"/>
  <c r="CL58" i="9"/>
  <c r="CM58" i="9" s="1"/>
  <c r="CL59" i="9"/>
  <c r="CM59" i="9" s="1"/>
  <c r="CL60" i="9"/>
  <c r="CM60" i="9" s="1"/>
  <c r="CL61" i="9"/>
  <c r="CM61" i="9" s="1"/>
  <c r="CL62" i="9"/>
  <c r="CM62" i="9" s="1"/>
  <c r="CL63" i="9"/>
  <c r="CM63" i="9" s="1"/>
  <c r="CL64" i="9"/>
  <c r="CM64" i="9" s="1"/>
  <c r="CL65" i="9"/>
  <c r="CM65" i="9" s="1"/>
  <c r="CL66" i="9"/>
  <c r="CM66" i="9" s="1"/>
  <c r="CL67" i="9"/>
  <c r="CM67" i="9" s="1"/>
  <c r="CL68" i="9"/>
  <c r="CM68" i="9" s="1"/>
  <c r="CL69" i="9"/>
  <c r="CM69" i="9" s="1"/>
  <c r="CL70" i="9"/>
  <c r="CM70" i="9" s="1"/>
  <c r="CL71" i="9"/>
  <c r="CM71" i="9" s="1"/>
  <c r="CL72" i="9"/>
  <c r="CM72" i="9" s="1"/>
  <c r="CL73" i="9"/>
  <c r="CM73" i="9" s="1"/>
  <c r="CL74" i="9"/>
  <c r="CM74" i="9" s="1"/>
  <c r="CL75" i="9"/>
  <c r="CM75" i="9" s="1"/>
  <c r="CL76" i="9"/>
  <c r="CM76" i="9" s="1"/>
  <c r="CL77" i="9"/>
  <c r="CM77" i="9" s="1"/>
  <c r="CL78" i="9"/>
  <c r="CM78" i="9" s="1"/>
  <c r="CL79" i="9"/>
  <c r="CM79" i="9" s="1"/>
  <c r="CL80" i="9"/>
  <c r="CM80" i="9" s="1"/>
  <c r="CL81" i="9"/>
  <c r="CM81" i="9" s="1"/>
  <c r="CL82" i="9"/>
  <c r="CM82" i="9" s="1"/>
  <c r="CL83" i="9"/>
  <c r="CM83" i="9" s="1"/>
  <c r="CL84" i="9"/>
  <c r="CM84" i="9" s="1"/>
  <c r="CL85" i="9"/>
  <c r="CM85" i="9" s="1"/>
  <c r="CL86" i="9"/>
  <c r="CM86" i="9" s="1"/>
  <c r="CL87" i="9"/>
  <c r="CM87" i="9" s="1"/>
  <c r="CL88" i="9"/>
  <c r="CM88" i="9" s="1"/>
  <c r="CL89" i="9"/>
  <c r="CM89" i="9" s="1"/>
  <c r="CL90" i="9"/>
  <c r="CM90" i="9" s="1"/>
  <c r="CL91" i="9"/>
  <c r="CM91" i="9" s="1"/>
  <c r="CL92" i="9"/>
  <c r="CM92" i="9" s="1"/>
  <c r="CL93" i="9"/>
  <c r="CM93" i="9" s="1"/>
  <c r="CL94" i="9"/>
  <c r="CM94" i="9" s="1"/>
  <c r="CL95" i="9"/>
  <c r="CM95" i="9" s="1"/>
  <c r="CL96" i="9"/>
  <c r="CM96" i="9" s="1"/>
  <c r="CL97" i="9"/>
  <c r="CM97" i="9" s="1"/>
  <c r="CL98" i="9"/>
  <c r="CM98" i="9" s="1"/>
  <c r="CL99" i="9"/>
  <c r="CM99" i="9" s="1"/>
  <c r="CL100" i="9"/>
  <c r="CM100" i="9" s="1"/>
  <c r="CL101" i="9"/>
  <c r="CM101" i="9" s="1"/>
  <c r="CL102" i="9"/>
  <c r="CM102" i="9" s="1"/>
  <c r="CL103" i="9"/>
  <c r="CM103" i="9" s="1"/>
  <c r="CL104" i="9"/>
  <c r="CM104" i="9" s="1"/>
  <c r="CL105" i="9"/>
  <c r="CM105" i="9" s="1"/>
  <c r="CL106" i="9"/>
  <c r="CM106" i="9" s="1"/>
  <c r="CL107" i="9"/>
  <c r="CM107" i="9" s="1"/>
  <c r="CL108" i="9"/>
  <c r="CM108" i="9" s="1"/>
  <c r="CL109" i="9"/>
  <c r="CM109" i="9" s="1"/>
  <c r="CL110" i="9"/>
  <c r="CM110" i="9" s="1"/>
  <c r="CL9" i="9"/>
  <c r="CM9" i="9" s="1"/>
  <c r="CJ10" i="9"/>
  <c r="CK10" i="9" s="1"/>
  <c r="CJ11" i="9"/>
  <c r="CK11" i="9" s="1"/>
  <c r="CJ12" i="9"/>
  <c r="CK12" i="9" s="1"/>
  <c r="CJ13" i="9"/>
  <c r="CK13" i="9" s="1"/>
  <c r="CJ14" i="9"/>
  <c r="CK14" i="9" s="1"/>
  <c r="CJ15" i="9"/>
  <c r="CK15" i="9" s="1"/>
  <c r="CJ16" i="9"/>
  <c r="CK16" i="9" s="1"/>
  <c r="CJ17" i="9"/>
  <c r="CK17" i="9" s="1"/>
  <c r="CJ18" i="9"/>
  <c r="CK18" i="9" s="1"/>
  <c r="CJ19" i="9"/>
  <c r="CK19" i="9" s="1"/>
  <c r="CJ20" i="9"/>
  <c r="CK20" i="9" s="1"/>
  <c r="CJ21" i="9"/>
  <c r="CK21" i="9" s="1"/>
  <c r="CJ22" i="9"/>
  <c r="CK22" i="9" s="1"/>
  <c r="CJ23" i="9"/>
  <c r="CK23" i="9" s="1"/>
  <c r="CJ24" i="9"/>
  <c r="CK24" i="9" s="1"/>
  <c r="CJ25" i="9"/>
  <c r="CK25" i="9" s="1"/>
  <c r="CJ26" i="9"/>
  <c r="CK26" i="9" s="1"/>
  <c r="CJ27" i="9"/>
  <c r="CK27" i="9" s="1"/>
  <c r="CJ28" i="9"/>
  <c r="CK28" i="9" s="1"/>
  <c r="CJ29" i="9"/>
  <c r="CK29" i="9" s="1"/>
  <c r="CJ30" i="9"/>
  <c r="CK30" i="9" s="1"/>
  <c r="CJ31" i="9"/>
  <c r="CK31" i="9" s="1"/>
  <c r="CJ32" i="9"/>
  <c r="CK32" i="9" s="1"/>
  <c r="CJ33" i="9"/>
  <c r="CK33" i="9" s="1"/>
  <c r="CJ34" i="9"/>
  <c r="CK34" i="9" s="1"/>
  <c r="CJ35" i="9"/>
  <c r="CK35" i="9" s="1"/>
  <c r="CJ36" i="9"/>
  <c r="CK36" i="9" s="1"/>
  <c r="CJ37" i="9"/>
  <c r="CK37" i="9" s="1"/>
  <c r="CJ38" i="9"/>
  <c r="CK38" i="9" s="1"/>
  <c r="CJ39" i="9"/>
  <c r="CK39" i="9" s="1"/>
  <c r="CJ40" i="9"/>
  <c r="CK40" i="9" s="1"/>
  <c r="CJ41" i="9"/>
  <c r="CK41" i="9" s="1"/>
  <c r="CJ42" i="9"/>
  <c r="CK42" i="9" s="1"/>
  <c r="CJ43" i="9"/>
  <c r="CK43" i="9" s="1"/>
  <c r="CJ44" i="9"/>
  <c r="CK44" i="9" s="1"/>
  <c r="CJ45" i="9"/>
  <c r="CK45" i="9" s="1"/>
  <c r="CJ46" i="9"/>
  <c r="CK46" i="9" s="1"/>
  <c r="CJ47" i="9"/>
  <c r="CK47" i="9" s="1"/>
  <c r="CJ48" i="9"/>
  <c r="CK48" i="9" s="1"/>
  <c r="CJ49" i="9"/>
  <c r="CK49" i="9" s="1"/>
  <c r="CJ50" i="9"/>
  <c r="CK50" i="9" s="1"/>
  <c r="CJ51" i="9"/>
  <c r="CK51" i="9" s="1"/>
  <c r="CJ52" i="9"/>
  <c r="CK52" i="9" s="1"/>
  <c r="CJ53" i="9"/>
  <c r="CK53" i="9" s="1"/>
  <c r="CJ54" i="9"/>
  <c r="CK54" i="9" s="1"/>
  <c r="CJ55" i="9"/>
  <c r="CK55" i="9" s="1"/>
  <c r="CJ56" i="9"/>
  <c r="CK56" i="9" s="1"/>
  <c r="CJ57" i="9"/>
  <c r="CK57" i="9" s="1"/>
  <c r="CJ58" i="9"/>
  <c r="CK58" i="9" s="1"/>
  <c r="CJ59" i="9"/>
  <c r="CK59" i="9" s="1"/>
  <c r="CJ60" i="9"/>
  <c r="CK60" i="9" s="1"/>
  <c r="CJ61" i="9"/>
  <c r="CK61" i="9" s="1"/>
  <c r="CJ62" i="9"/>
  <c r="CK62" i="9" s="1"/>
  <c r="CJ63" i="9"/>
  <c r="CK63" i="9" s="1"/>
  <c r="CJ64" i="9"/>
  <c r="CK64" i="9" s="1"/>
  <c r="CJ65" i="9"/>
  <c r="CK65" i="9" s="1"/>
  <c r="CJ66" i="9"/>
  <c r="CK66" i="9" s="1"/>
  <c r="CJ67" i="9"/>
  <c r="CK67" i="9" s="1"/>
  <c r="CJ68" i="9"/>
  <c r="CK68" i="9" s="1"/>
  <c r="CJ69" i="9"/>
  <c r="CK69" i="9" s="1"/>
  <c r="CJ70" i="9"/>
  <c r="CK70" i="9" s="1"/>
  <c r="CJ71" i="9"/>
  <c r="CK71" i="9" s="1"/>
  <c r="CJ72" i="9"/>
  <c r="CK72" i="9" s="1"/>
  <c r="CJ73" i="9"/>
  <c r="CK73" i="9" s="1"/>
  <c r="CJ74" i="9"/>
  <c r="CK74" i="9" s="1"/>
  <c r="CJ75" i="9"/>
  <c r="CK75" i="9" s="1"/>
  <c r="CJ76" i="9"/>
  <c r="CK76" i="9" s="1"/>
  <c r="CJ77" i="9"/>
  <c r="CK77" i="9" s="1"/>
  <c r="CJ78" i="9"/>
  <c r="CK78" i="9" s="1"/>
  <c r="CJ79" i="9"/>
  <c r="CK79" i="9" s="1"/>
  <c r="CJ80" i="9"/>
  <c r="CK80" i="9" s="1"/>
  <c r="CJ81" i="9"/>
  <c r="CK81" i="9" s="1"/>
  <c r="CJ82" i="9"/>
  <c r="CK82" i="9" s="1"/>
  <c r="CJ83" i="9"/>
  <c r="CK83" i="9" s="1"/>
  <c r="CJ84" i="9"/>
  <c r="CK84" i="9" s="1"/>
  <c r="CJ85" i="9"/>
  <c r="CK85" i="9" s="1"/>
  <c r="CJ86" i="9"/>
  <c r="CK86" i="9" s="1"/>
  <c r="CJ87" i="9"/>
  <c r="CK87" i="9" s="1"/>
  <c r="CJ88" i="9"/>
  <c r="CK88" i="9" s="1"/>
  <c r="CJ89" i="9"/>
  <c r="CK89" i="9" s="1"/>
  <c r="CJ90" i="9"/>
  <c r="CK90" i="9" s="1"/>
  <c r="CJ91" i="9"/>
  <c r="CK91" i="9" s="1"/>
  <c r="CJ92" i="9"/>
  <c r="CK92" i="9" s="1"/>
  <c r="CJ93" i="9"/>
  <c r="CK93" i="9" s="1"/>
  <c r="CJ94" i="9"/>
  <c r="CK94" i="9" s="1"/>
  <c r="CJ95" i="9"/>
  <c r="CK95" i="9" s="1"/>
  <c r="CJ96" i="9"/>
  <c r="CK96" i="9" s="1"/>
  <c r="CJ97" i="9"/>
  <c r="CK97" i="9" s="1"/>
  <c r="CJ98" i="9"/>
  <c r="CK98" i="9" s="1"/>
  <c r="CJ99" i="9"/>
  <c r="CK99" i="9" s="1"/>
  <c r="CJ100" i="9"/>
  <c r="CK100" i="9" s="1"/>
  <c r="CJ101" i="9"/>
  <c r="CK101" i="9" s="1"/>
  <c r="CJ102" i="9"/>
  <c r="CK102" i="9" s="1"/>
  <c r="CJ103" i="9"/>
  <c r="CK103" i="9" s="1"/>
  <c r="CJ104" i="9"/>
  <c r="CK104" i="9" s="1"/>
  <c r="CJ105" i="9"/>
  <c r="CK105" i="9" s="1"/>
  <c r="CJ106" i="9"/>
  <c r="CK106" i="9" s="1"/>
  <c r="CJ107" i="9"/>
  <c r="CK107" i="9" s="1"/>
  <c r="CJ108" i="9"/>
  <c r="CK108" i="9" s="1"/>
  <c r="CJ109" i="9"/>
  <c r="CK109" i="9" s="1"/>
  <c r="CJ110" i="9"/>
  <c r="CK110" i="9" s="1"/>
  <c r="CH10" i="9"/>
  <c r="CI10" i="9" s="1"/>
  <c r="CH11" i="9"/>
  <c r="CI11" i="9" s="1"/>
  <c r="CH12" i="9"/>
  <c r="CI12" i="9" s="1"/>
  <c r="CH13" i="9"/>
  <c r="CI13" i="9" s="1"/>
  <c r="CH14" i="9"/>
  <c r="CI14" i="9" s="1"/>
  <c r="CH15" i="9"/>
  <c r="CI15" i="9" s="1"/>
  <c r="CH16" i="9"/>
  <c r="CI16" i="9" s="1"/>
  <c r="CH17" i="9"/>
  <c r="CI17" i="9" s="1"/>
  <c r="CH18" i="9"/>
  <c r="CI18" i="9" s="1"/>
  <c r="CH19" i="9"/>
  <c r="CI19" i="9" s="1"/>
  <c r="CH20" i="9"/>
  <c r="CI20" i="9" s="1"/>
  <c r="CH21" i="9"/>
  <c r="CI21" i="9" s="1"/>
  <c r="CH22" i="9"/>
  <c r="CI22" i="9" s="1"/>
  <c r="CH23" i="9"/>
  <c r="CI23" i="9" s="1"/>
  <c r="CH24" i="9"/>
  <c r="CI24" i="9" s="1"/>
  <c r="CH25" i="9"/>
  <c r="CI25" i="9" s="1"/>
  <c r="CH26" i="9"/>
  <c r="CI26" i="9" s="1"/>
  <c r="CH27" i="9"/>
  <c r="CI27" i="9" s="1"/>
  <c r="CH28" i="9"/>
  <c r="CI28" i="9" s="1"/>
  <c r="CH29" i="9"/>
  <c r="CI29" i="9" s="1"/>
  <c r="CH30" i="9"/>
  <c r="CI30" i="9" s="1"/>
  <c r="CH31" i="9"/>
  <c r="CI31" i="9" s="1"/>
  <c r="CH32" i="9"/>
  <c r="CI32" i="9" s="1"/>
  <c r="CH33" i="9"/>
  <c r="CI33" i="9" s="1"/>
  <c r="CH34" i="9"/>
  <c r="CI34" i="9" s="1"/>
  <c r="CH35" i="9"/>
  <c r="CI35" i="9" s="1"/>
  <c r="CH36" i="9"/>
  <c r="CI36" i="9" s="1"/>
  <c r="CH37" i="9"/>
  <c r="CI37" i="9" s="1"/>
  <c r="CH38" i="9"/>
  <c r="CI38" i="9" s="1"/>
  <c r="CH39" i="9"/>
  <c r="CI39" i="9" s="1"/>
  <c r="CH40" i="9"/>
  <c r="CI40" i="9" s="1"/>
  <c r="CH41" i="9"/>
  <c r="CI41" i="9" s="1"/>
  <c r="CH42" i="9"/>
  <c r="CI42" i="9" s="1"/>
  <c r="CH43" i="9"/>
  <c r="CI43" i="9" s="1"/>
  <c r="CH44" i="9"/>
  <c r="CI44" i="9" s="1"/>
  <c r="CH45" i="9"/>
  <c r="CI45" i="9" s="1"/>
  <c r="CH46" i="9"/>
  <c r="CI46" i="9" s="1"/>
  <c r="CH47" i="9"/>
  <c r="CI47" i="9" s="1"/>
  <c r="CH48" i="9"/>
  <c r="CI48" i="9" s="1"/>
  <c r="CH49" i="9"/>
  <c r="CI49" i="9" s="1"/>
  <c r="CH50" i="9"/>
  <c r="CI50" i="9" s="1"/>
  <c r="CH51" i="9"/>
  <c r="CI51" i="9" s="1"/>
  <c r="CH52" i="9"/>
  <c r="CI52" i="9" s="1"/>
  <c r="CH53" i="9"/>
  <c r="CI53" i="9" s="1"/>
  <c r="CH54" i="9"/>
  <c r="CI54" i="9" s="1"/>
  <c r="CH55" i="9"/>
  <c r="CI55" i="9" s="1"/>
  <c r="CH56" i="9"/>
  <c r="CI56" i="9" s="1"/>
  <c r="CH57" i="9"/>
  <c r="CI57" i="9" s="1"/>
  <c r="CH58" i="9"/>
  <c r="CI58" i="9" s="1"/>
  <c r="CH59" i="9"/>
  <c r="CI59" i="9" s="1"/>
  <c r="CH60" i="9"/>
  <c r="CI60" i="9" s="1"/>
  <c r="CH61" i="9"/>
  <c r="CI61" i="9" s="1"/>
  <c r="CH62" i="9"/>
  <c r="CI62" i="9" s="1"/>
  <c r="CH63" i="9"/>
  <c r="CI63" i="9" s="1"/>
  <c r="CH64" i="9"/>
  <c r="CI64" i="9" s="1"/>
  <c r="CH65" i="9"/>
  <c r="CI65" i="9" s="1"/>
  <c r="CH66" i="9"/>
  <c r="CI66" i="9" s="1"/>
  <c r="CH67" i="9"/>
  <c r="CI67" i="9" s="1"/>
  <c r="CH68" i="9"/>
  <c r="CI68" i="9" s="1"/>
  <c r="CH69" i="9"/>
  <c r="CI69" i="9" s="1"/>
  <c r="CH70" i="9"/>
  <c r="CI70" i="9" s="1"/>
  <c r="CH71" i="9"/>
  <c r="CI71" i="9" s="1"/>
  <c r="CH72" i="9"/>
  <c r="CI72" i="9" s="1"/>
  <c r="CH73" i="9"/>
  <c r="CI73" i="9" s="1"/>
  <c r="CH74" i="9"/>
  <c r="CI74" i="9" s="1"/>
  <c r="CH75" i="9"/>
  <c r="CI75" i="9" s="1"/>
  <c r="CH76" i="9"/>
  <c r="CI76" i="9" s="1"/>
  <c r="CH77" i="9"/>
  <c r="CI77" i="9" s="1"/>
  <c r="CH78" i="9"/>
  <c r="CI78" i="9" s="1"/>
  <c r="CH79" i="9"/>
  <c r="CI79" i="9" s="1"/>
  <c r="CH80" i="9"/>
  <c r="CI80" i="9" s="1"/>
  <c r="CH81" i="9"/>
  <c r="CI81" i="9" s="1"/>
  <c r="CH82" i="9"/>
  <c r="CI82" i="9" s="1"/>
  <c r="CH83" i="9"/>
  <c r="CI83" i="9" s="1"/>
  <c r="CH84" i="9"/>
  <c r="CI84" i="9" s="1"/>
  <c r="CH85" i="9"/>
  <c r="CI85" i="9" s="1"/>
  <c r="CH86" i="9"/>
  <c r="CI86" i="9" s="1"/>
  <c r="CH87" i="9"/>
  <c r="CI87" i="9" s="1"/>
  <c r="CH88" i="9"/>
  <c r="CI88" i="9" s="1"/>
  <c r="CH89" i="9"/>
  <c r="CI89" i="9" s="1"/>
  <c r="CH90" i="9"/>
  <c r="CI90" i="9" s="1"/>
  <c r="CH91" i="9"/>
  <c r="CI91" i="9" s="1"/>
  <c r="CH92" i="9"/>
  <c r="CI92" i="9" s="1"/>
  <c r="CH93" i="9"/>
  <c r="CI93" i="9" s="1"/>
  <c r="CH94" i="9"/>
  <c r="CI94" i="9" s="1"/>
  <c r="CH95" i="9"/>
  <c r="CI95" i="9" s="1"/>
  <c r="CH96" i="9"/>
  <c r="CI96" i="9" s="1"/>
  <c r="CH97" i="9"/>
  <c r="CI97" i="9" s="1"/>
  <c r="CH98" i="9"/>
  <c r="CI98" i="9" s="1"/>
  <c r="CH99" i="9"/>
  <c r="CI99" i="9" s="1"/>
  <c r="CH100" i="9"/>
  <c r="CI100" i="9" s="1"/>
  <c r="CH101" i="9"/>
  <c r="CI101" i="9" s="1"/>
  <c r="CH102" i="9"/>
  <c r="CI102" i="9" s="1"/>
  <c r="CH103" i="9"/>
  <c r="CI103" i="9" s="1"/>
  <c r="CH104" i="9"/>
  <c r="CI104" i="9" s="1"/>
  <c r="CH105" i="9"/>
  <c r="CI105" i="9" s="1"/>
  <c r="CH106" i="9"/>
  <c r="CI106" i="9" s="1"/>
  <c r="CH107" i="9"/>
  <c r="CI107" i="9" s="1"/>
  <c r="CH108" i="9"/>
  <c r="CI108" i="9" s="1"/>
  <c r="CH109" i="9"/>
  <c r="CI109" i="9" s="1"/>
  <c r="CH110" i="9"/>
  <c r="CI110" i="9" s="1"/>
  <c r="CD10" i="9"/>
  <c r="CE10" i="9" s="1"/>
  <c r="CD11" i="9"/>
  <c r="CE11" i="9" s="1"/>
  <c r="CD12" i="9"/>
  <c r="CE12" i="9" s="1"/>
  <c r="CD13" i="9"/>
  <c r="CE13" i="9" s="1"/>
  <c r="CD14" i="9"/>
  <c r="CE14" i="9" s="1"/>
  <c r="CD15" i="9"/>
  <c r="CE15" i="9" s="1"/>
  <c r="CD16" i="9"/>
  <c r="CE16" i="9" s="1"/>
  <c r="CD17" i="9"/>
  <c r="CE17" i="9" s="1"/>
  <c r="CD18" i="9"/>
  <c r="CE18" i="9" s="1"/>
  <c r="CD19" i="9"/>
  <c r="CE19" i="9" s="1"/>
  <c r="CD20" i="9"/>
  <c r="CE20" i="9" s="1"/>
  <c r="CD21" i="9"/>
  <c r="CE21" i="9" s="1"/>
  <c r="CD22" i="9"/>
  <c r="CE22" i="9" s="1"/>
  <c r="CD23" i="9"/>
  <c r="CE23" i="9" s="1"/>
  <c r="CD24" i="9"/>
  <c r="CE24" i="9" s="1"/>
  <c r="CD25" i="9"/>
  <c r="CE25" i="9" s="1"/>
  <c r="CD26" i="9"/>
  <c r="CE26" i="9" s="1"/>
  <c r="CD27" i="9"/>
  <c r="CE27" i="9" s="1"/>
  <c r="CD28" i="9"/>
  <c r="CE28" i="9" s="1"/>
  <c r="CD29" i="9"/>
  <c r="CE29" i="9" s="1"/>
  <c r="CD30" i="9"/>
  <c r="CE30" i="9" s="1"/>
  <c r="CD31" i="9"/>
  <c r="CE31" i="9" s="1"/>
  <c r="CD32" i="9"/>
  <c r="CE32" i="9" s="1"/>
  <c r="CD33" i="9"/>
  <c r="CE33" i="9" s="1"/>
  <c r="CD34" i="9"/>
  <c r="CE34" i="9" s="1"/>
  <c r="CD35" i="9"/>
  <c r="CE35" i="9" s="1"/>
  <c r="CD36" i="9"/>
  <c r="CE36" i="9" s="1"/>
  <c r="CD37" i="9"/>
  <c r="CE37" i="9" s="1"/>
  <c r="CD38" i="9"/>
  <c r="CE38" i="9" s="1"/>
  <c r="CD39" i="9"/>
  <c r="CE39" i="9" s="1"/>
  <c r="CD40" i="9"/>
  <c r="CE40" i="9" s="1"/>
  <c r="CD41" i="9"/>
  <c r="CE41" i="9" s="1"/>
  <c r="CD42" i="9"/>
  <c r="CE42" i="9" s="1"/>
  <c r="CD43" i="9"/>
  <c r="CE43" i="9" s="1"/>
  <c r="CD44" i="9"/>
  <c r="CE44" i="9" s="1"/>
  <c r="CD45" i="9"/>
  <c r="CE45" i="9" s="1"/>
  <c r="CD46" i="9"/>
  <c r="CE46" i="9" s="1"/>
  <c r="CD47" i="9"/>
  <c r="CE47" i="9" s="1"/>
  <c r="CD48" i="9"/>
  <c r="CE48" i="9" s="1"/>
  <c r="CD49" i="9"/>
  <c r="CE49" i="9" s="1"/>
  <c r="CD50" i="9"/>
  <c r="CE50" i="9" s="1"/>
  <c r="CD51" i="9"/>
  <c r="CE51" i="9" s="1"/>
  <c r="CD52" i="9"/>
  <c r="CE52" i="9" s="1"/>
  <c r="CD53" i="9"/>
  <c r="CE53" i="9" s="1"/>
  <c r="CD54" i="9"/>
  <c r="CE54" i="9" s="1"/>
  <c r="CD55" i="9"/>
  <c r="CE55" i="9" s="1"/>
  <c r="CD56" i="9"/>
  <c r="CE56" i="9" s="1"/>
  <c r="CD57" i="9"/>
  <c r="CE57" i="9" s="1"/>
  <c r="CD58" i="9"/>
  <c r="CE58" i="9" s="1"/>
  <c r="CD59" i="9"/>
  <c r="CE59" i="9" s="1"/>
  <c r="CD60" i="9"/>
  <c r="CE60" i="9" s="1"/>
  <c r="CD61" i="9"/>
  <c r="CE61" i="9" s="1"/>
  <c r="CD62" i="9"/>
  <c r="CE62" i="9" s="1"/>
  <c r="CD63" i="9"/>
  <c r="CE63" i="9" s="1"/>
  <c r="CD64" i="9"/>
  <c r="CE64" i="9" s="1"/>
  <c r="CD65" i="9"/>
  <c r="CE65" i="9" s="1"/>
  <c r="CD66" i="9"/>
  <c r="CE66" i="9" s="1"/>
  <c r="CD67" i="9"/>
  <c r="CE67" i="9" s="1"/>
  <c r="CD68" i="9"/>
  <c r="CE68" i="9" s="1"/>
  <c r="CD69" i="9"/>
  <c r="CE69" i="9" s="1"/>
  <c r="CD70" i="9"/>
  <c r="CE70" i="9" s="1"/>
  <c r="CD71" i="9"/>
  <c r="CE71" i="9" s="1"/>
  <c r="CD72" i="9"/>
  <c r="CE72" i="9" s="1"/>
  <c r="CD73" i="9"/>
  <c r="CE73" i="9" s="1"/>
  <c r="CD74" i="9"/>
  <c r="CE74" i="9" s="1"/>
  <c r="CD75" i="9"/>
  <c r="CE75" i="9" s="1"/>
  <c r="CD76" i="9"/>
  <c r="CE76" i="9" s="1"/>
  <c r="CD77" i="9"/>
  <c r="CE77" i="9" s="1"/>
  <c r="CD78" i="9"/>
  <c r="CE78" i="9" s="1"/>
  <c r="CD79" i="9"/>
  <c r="CE79" i="9" s="1"/>
  <c r="CD80" i="9"/>
  <c r="CE80" i="9" s="1"/>
  <c r="CD81" i="9"/>
  <c r="CE81" i="9" s="1"/>
  <c r="CD82" i="9"/>
  <c r="CE82" i="9" s="1"/>
  <c r="CD83" i="9"/>
  <c r="CE83" i="9" s="1"/>
  <c r="CD84" i="9"/>
  <c r="CE84" i="9" s="1"/>
  <c r="CD85" i="9"/>
  <c r="CE85" i="9" s="1"/>
  <c r="CD86" i="9"/>
  <c r="CE86" i="9" s="1"/>
  <c r="CD87" i="9"/>
  <c r="CE87" i="9" s="1"/>
  <c r="CD88" i="9"/>
  <c r="CE88" i="9" s="1"/>
  <c r="CD89" i="9"/>
  <c r="CE89" i="9" s="1"/>
  <c r="CD90" i="9"/>
  <c r="CE90" i="9" s="1"/>
  <c r="CD91" i="9"/>
  <c r="CE91" i="9" s="1"/>
  <c r="CD92" i="9"/>
  <c r="CE92" i="9" s="1"/>
  <c r="CD93" i="9"/>
  <c r="CE93" i="9" s="1"/>
  <c r="CD94" i="9"/>
  <c r="CE94" i="9" s="1"/>
  <c r="CD95" i="9"/>
  <c r="CE95" i="9" s="1"/>
  <c r="CD96" i="9"/>
  <c r="CE96" i="9" s="1"/>
  <c r="CD97" i="9"/>
  <c r="CE97" i="9" s="1"/>
  <c r="CD98" i="9"/>
  <c r="CE98" i="9" s="1"/>
  <c r="CD99" i="9"/>
  <c r="CE99" i="9" s="1"/>
  <c r="CD100" i="9"/>
  <c r="CE100" i="9" s="1"/>
  <c r="CD101" i="9"/>
  <c r="CE101" i="9" s="1"/>
  <c r="CD102" i="9"/>
  <c r="CE102" i="9" s="1"/>
  <c r="CD103" i="9"/>
  <c r="CE103" i="9" s="1"/>
  <c r="CD104" i="9"/>
  <c r="CE104" i="9" s="1"/>
  <c r="CD105" i="9"/>
  <c r="CE105" i="9" s="1"/>
  <c r="CD106" i="9"/>
  <c r="CE106" i="9" s="1"/>
  <c r="CD107" i="9"/>
  <c r="CE107" i="9" s="1"/>
  <c r="CD108" i="9"/>
  <c r="CE108" i="9" s="1"/>
  <c r="CD109" i="9"/>
  <c r="CE109" i="9" s="1"/>
  <c r="CD110" i="9"/>
  <c r="CE110" i="9" s="1"/>
  <c r="CJ9" i="9"/>
  <c r="CK9" i="9" s="1"/>
  <c r="CH9" i="9"/>
  <c r="CI9" i="9" s="1"/>
  <c r="CD9" i="9"/>
  <c r="CE9" i="9" s="1"/>
  <c r="CT9" i="9"/>
  <c r="CF10" i="9"/>
  <c r="CG10" i="9" s="1"/>
  <c r="CF11" i="9"/>
  <c r="CG11" i="9" s="1"/>
  <c r="CF12" i="9"/>
  <c r="CG12" i="9" s="1"/>
  <c r="CF13" i="9"/>
  <c r="CG13" i="9" s="1"/>
  <c r="CF14" i="9"/>
  <c r="CG14" i="9" s="1"/>
  <c r="CF15" i="9"/>
  <c r="CG15" i="9" s="1"/>
  <c r="CF16" i="9"/>
  <c r="CG16" i="9" s="1"/>
  <c r="CF17" i="9"/>
  <c r="CG17" i="9" s="1"/>
  <c r="CF18" i="9"/>
  <c r="CG18" i="9" s="1"/>
  <c r="CF19" i="9"/>
  <c r="CG19" i="9" s="1"/>
  <c r="CF20" i="9"/>
  <c r="CG20" i="9" s="1"/>
  <c r="CF21" i="9"/>
  <c r="CG21" i="9" s="1"/>
  <c r="CF22" i="9"/>
  <c r="CG22" i="9" s="1"/>
  <c r="CF23" i="9"/>
  <c r="CG23" i="9" s="1"/>
  <c r="CF24" i="9"/>
  <c r="CG24" i="9" s="1"/>
  <c r="CF25" i="9"/>
  <c r="CG25" i="9" s="1"/>
  <c r="CF26" i="9"/>
  <c r="CG26" i="9" s="1"/>
  <c r="CF27" i="9"/>
  <c r="CG27" i="9" s="1"/>
  <c r="CF28" i="9"/>
  <c r="CG28" i="9" s="1"/>
  <c r="CF29" i="9"/>
  <c r="CG29" i="9" s="1"/>
  <c r="CF30" i="9"/>
  <c r="CG30" i="9" s="1"/>
  <c r="CF31" i="9"/>
  <c r="CG31" i="9" s="1"/>
  <c r="CF32" i="9"/>
  <c r="CG32" i="9" s="1"/>
  <c r="CF33" i="9"/>
  <c r="CG33" i="9" s="1"/>
  <c r="CF34" i="9"/>
  <c r="CG34" i="9" s="1"/>
  <c r="CF35" i="9"/>
  <c r="CG35" i="9" s="1"/>
  <c r="CF36" i="9"/>
  <c r="CG36" i="9" s="1"/>
  <c r="CF37" i="9"/>
  <c r="CG37" i="9" s="1"/>
  <c r="CF38" i="9"/>
  <c r="CG38" i="9" s="1"/>
  <c r="CF39" i="9"/>
  <c r="CG39" i="9" s="1"/>
  <c r="CF40" i="9"/>
  <c r="CG40" i="9" s="1"/>
  <c r="CF41" i="9"/>
  <c r="CG41" i="9" s="1"/>
  <c r="CF42" i="9"/>
  <c r="CG42" i="9" s="1"/>
  <c r="CF43" i="9"/>
  <c r="CG43" i="9" s="1"/>
  <c r="CF44" i="9"/>
  <c r="CG44" i="9" s="1"/>
  <c r="CF45" i="9"/>
  <c r="CG45" i="9" s="1"/>
  <c r="CF46" i="9"/>
  <c r="CG46" i="9" s="1"/>
  <c r="CF47" i="9"/>
  <c r="CG47" i="9" s="1"/>
  <c r="CF48" i="9"/>
  <c r="CG48" i="9" s="1"/>
  <c r="CF49" i="9"/>
  <c r="CG49" i="9" s="1"/>
  <c r="CF50" i="9"/>
  <c r="CG50" i="9" s="1"/>
  <c r="CF51" i="9"/>
  <c r="CG51" i="9" s="1"/>
  <c r="CF52" i="9"/>
  <c r="CG52" i="9" s="1"/>
  <c r="CF53" i="9"/>
  <c r="CG53" i="9" s="1"/>
  <c r="CF54" i="9"/>
  <c r="CG54" i="9" s="1"/>
  <c r="CF55" i="9"/>
  <c r="CG55" i="9" s="1"/>
  <c r="CF56" i="9"/>
  <c r="CG56" i="9" s="1"/>
  <c r="CF57" i="9"/>
  <c r="CG57" i="9" s="1"/>
  <c r="CF58" i="9"/>
  <c r="CG58" i="9" s="1"/>
  <c r="CF59" i="9"/>
  <c r="CG59" i="9" s="1"/>
  <c r="CF60" i="9"/>
  <c r="CG60" i="9" s="1"/>
  <c r="CF61" i="9"/>
  <c r="CG61" i="9" s="1"/>
  <c r="CF62" i="9"/>
  <c r="CG62" i="9" s="1"/>
  <c r="CF63" i="9"/>
  <c r="CG63" i="9" s="1"/>
  <c r="CF64" i="9"/>
  <c r="CG64" i="9" s="1"/>
  <c r="CF65" i="9"/>
  <c r="CG65" i="9" s="1"/>
  <c r="CF66" i="9"/>
  <c r="CG66" i="9" s="1"/>
  <c r="CF67" i="9"/>
  <c r="CG67" i="9" s="1"/>
  <c r="CF68" i="9"/>
  <c r="CG68" i="9" s="1"/>
  <c r="CF69" i="9"/>
  <c r="CG69" i="9" s="1"/>
  <c r="CF70" i="9"/>
  <c r="CG70" i="9" s="1"/>
  <c r="CF71" i="9"/>
  <c r="CG71" i="9" s="1"/>
  <c r="CF72" i="9"/>
  <c r="CG72" i="9" s="1"/>
  <c r="CF73" i="9"/>
  <c r="CG73" i="9" s="1"/>
  <c r="CF74" i="9"/>
  <c r="CG74" i="9" s="1"/>
  <c r="CF75" i="9"/>
  <c r="CG75" i="9" s="1"/>
  <c r="CF76" i="9"/>
  <c r="CG76" i="9" s="1"/>
  <c r="CF77" i="9"/>
  <c r="CG77" i="9" s="1"/>
  <c r="CF78" i="9"/>
  <c r="CG78" i="9" s="1"/>
  <c r="CF79" i="9"/>
  <c r="CG79" i="9" s="1"/>
  <c r="CF80" i="9"/>
  <c r="CG80" i="9" s="1"/>
  <c r="CF81" i="9"/>
  <c r="CG81" i="9" s="1"/>
  <c r="CF82" i="9"/>
  <c r="CG82" i="9" s="1"/>
  <c r="CF83" i="9"/>
  <c r="CG83" i="9" s="1"/>
  <c r="CF84" i="9"/>
  <c r="CG84" i="9" s="1"/>
  <c r="CF85" i="9"/>
  <c r="CG85" i="9" s="1"/>
  <c r="CF86" i="9"/>
  <c r="CG86" i="9" s="1"/>
  <c r="CF87" i="9"/>
  <c r="CG87" i="9" s="1"/>
  <c r="CF88" i="9"/>
  <c r="CG88" i="9" s="1"/>
  <c r="CF89" i="9"/>
  <c r="CG89" i="9" s="1"/>
  <c r="CF90" i="9"/>
  <c r="CG90" i="9" s="1"/>
  <c r="CF91" i="9"/>
  <c r="CG91" i="9" s="1"/>
  <c r="CF92" i="9"/>
  <c r="CG92" i="9" s="1"/>
  <c r="CF93" i="9"/>
  <c r="CG93" i="9" s="1"/>
  <c r="CF94" i="9"/>
  <c r="CG94" i="9" s="1"/>
  <c r="CF95" i="9"/>
  <c r="CG95" i="9" s="1"/>
  <c r="CF96" i="9"/>
  <c r="CG96" i="9" s="1"/>
  <c r="CF97" i="9"/>
  <c r="CG97" i="9" s="1"/>
  <c r="CF98" i="9"/>
  <c r="CG98" i="9" s="1"/>
  <c r="CF99" i="9"/>
  <c r="CG99" i="9" s="1"/>
  <c r="CF100" i="9"/>
  <c r="CG100" i="9" s="1"/>
  <c r="CF101" i="9"/>
  <c r="CG101" i="9" s="1"/>
  <c r="CF102" i="9"/>
  <c r="CG102" i="9" s="1"/>
  <c r="CF103" i="9"/>
  <c r="CG103" i="9" s="1"/>
  <c r="CF104" i="9"/>
  <c r="CG104" i="9" s="1"/>
  <c r="CF105" i="9"/>
  <c r="CG105" i="9" s="1"/>
  <c r="CF106" i="9"/>
  <c r="CG106" i="9" s="1"/>
  <c r="CF107" i="9"/>
  <c r="CG107" i="9" s="1"/>
  <c r="CF108" i="9"/>
  <c r="CG108" i="9" s="1"/>
  <c r="CF109" i="9"/>
  <c r="CG109" i="9" s="1"/>
  <c r="CF110" i="9"/>
  <c r="CG110" i="9" s="1"/>
  <c r="CF9" i="9"/>
  <c r="CG9" i="9" s="1"/>
  <c r="CU110" i="9"/>
  <c r="CT110" i="9"/>
  <c r="CS110" i="9"/>
  <c r="CU108" i="9"/>
  <c r="CT108" i="9"/>
  <c r="CS108" i="9"/>
  <c r="CU107" i="9"/>
  <c r="CT107" i="9"/>
  <c r="CS107" i="9"/>
  <c r="CU105" i="9"/>
  <c r="CT105" i="9"/>
  <c r="CS105" i="9"/>
  <c r="CU104" i="9"/>
  <c r="CT104" i="9"/>
  <c r="CS104" i="9"/>
  <c r="CU102" i="9"/>
  <c r="CT102" i="9"/>
  <c r="CS102" i="9"/>
  <c r="CU101" i="9"/>
  <c r="CT101" i="9"/>
  <c r="CS101" i="9"/>
  <c r="CU99" i="9"/>
  <c r="CT99" i="9"/>
  <c r="CS99" i="9"/>
  <c r="CU98" i="9"/>
  <c r="CT98" i="9"/>
  <c r="CS98" i="9"/>
  <c r="CU96" i="9"/>
  <c r="CT96" i="9"/>
  <c r="CS96" i="9"/>
  <c r="CU95" i="9"/>
  <c r="CT95" i="9"/>
  <c r="CS95" i="9"/>
  <c r="CU93" i="9"/>
  <c r="CT93" i="9"/>
  <c r="CS93" i="9"/>
  <c r="CU92" i="9"/>
  <c r="CT92" i="9"/>
  <c r="CS92" i="9"/>
  <c r="CU90" i="9"/>
  <c r="CT90" i="9"/>
  <c r="CS90" i="9"/>
  <c r="CU89" i="9"/>
  <c r="CT89" i="9"/>
  <c r="CS89" i="9"/>
  <c r="CU87" i="9"/>
  <c r="CT87" i="9"/>
  <c r="CS87" i="9"/>
  <c r="CU86" i="9"/>
  <c r="CT86" i="9"/>
  <c r="CS86" i="9"/>
  <c r="CU84" i="9"/>
  <c r="CT84" i="9"/>
  <c r="CS84" i="9"/>
  <c r="CU83" i="9"/>
  <c r="CT83" i="9"/>
  <c r="CS83" i="9"/>
  <c r="CU81" i="9"/>
  <c r="CT81" i="9"/>
  <c r="CS81" i="9"/>
  <c r="CU80" i="9"/>
  <c r="CT80" i="9"/>
  <c r="CS80" i="9"/>
  <c r="CU78" i="9"/>
  <c r="CT78" i="9"/>
  <c r="CS78" i="9"/>
  <c r="CU77" i="9"/>
  <c r="CT77" i="9"/>
  <c r="CS77" i="9"/>
  <c r="CU75" i="9"/>
  <c r="CT75" i="9"/>
  <c r="CS75" i="9"/>
  <c r="CU74" i="9"/>
  <c r="CT74" i="9"/>
  <c r="CS74" i="9"/>
  <c r="CU72" i="9"/>
  <c r="CT72" i="9"/>
  <c r="CS72" i="9"/>
  <c r="CU71" i="9"/>
  <c r="CT71" i="9"/>
  <c r="CS71" i="9"/>
  <c r="CU69" i="9"/>
  <c r="CT69" i="9"/>
  <c r="CS69" i="9"/>
  <c r="CU68" i="9"/>
  <c r="CT68" i="9"/>
  <c r="CS68" i="9"/>
  <c r="CU66" i="9"/>
  <c r="CT66" i="9"/>
  <c r="CS66" i="9"/>
  <c r="CU65" i="9"/>
  <c r="CT65" i="9"/>
  <c r="CS65" i="9"/>
  <c r="CU63" i="9"/>
  <c r="CT63" i="9"/>
  <c r="CS63" i="9"/>
  <c r="CU62" i="9"/>
  <c r="CT62" i="9"/>
  <c r="CS62" i="9"/>
  <c r="CU60" i="9"/>
  <c r="CT60" i="9"/>
  <c r="CS60" i="9"/>
  <c r="CU59" i="9"/>
  <c r="CT59" i="9"/>
  <c r="CS59" i="9"/>
  <c r="CU57" i="9"/>
  <c r="CT57" i="9"/>
  <c r="CS57" i="9"/>
  <c r="CU56" i="9"/>
  <c r="CT56" i="9"/>
  <c r="CS56" i="9"/>
  <c r="CU54" i="9"/>
  <c r="CT54" i="9"/>
  <c r="CS54" i="9"/>
  <c r="CU53" i="9"/>
  <c r="CT53" i="9"/>
  <c r="CS53" i="9"/>
  <c r="CU51" i="9"/>
  <c r="CT51" i="9"/>
  <c r="CS51" i="9"/>
  <c r="CU50" i="9"/>
  <c r="CT50" i="9"/>
  <c r="CS50" i="9"/>
  <c r="CU48" i="9"/>
  <c r="CT48" i="9"/>
  <c r="CS48" i="9"/>
  <c r="CU47" i="9"/>
  <c r="CT47" i="9"/>
  <c r="CS47" i="9"/>
  <c r="CU45" i="9"/>
  <c r="CT45" i="9"/>
  <c r="CS45" i="9"/>
  <c r="CU44" i="9"/>
  <c r="CT44" i="9"/>
  <c r="CS44" i="9"/>
  <c r="CU42" i="9"/>
  <c r="CT42" i="9"/>
  <c r="CS42" i="9"/>
  <c r="CU41" i="9"/>
  <c r="CT41" i="9"/>
  <c r="CS41" i="9"/>
  <c r="CU39" i="9"/>
  <c r="CT39" i="9"/>
  <c r="CS39" i="9"/>
  <c r="CU38" i="9"/>
  <c r="CT38" i="9"/>
  <c r="CS38" i="9"/>
  <c r="CU36" i="9"/>
  <c r="CT36" i="9"/>
  <c r="CS36" i="9"/>
  <c r="CU35" i="9"/>
  <c r="CT35" i="9"/>
  <c r="CS35" i="9"/>
  <c r="CU33" i="9"/>
  <c r="CT33" i="9"/>
  <c r="CS33" i="9"/>
  <c r="CU32" i="9"/>
  <c r="CT32" i="9"/>
  <c r="CS32" i="9"/>
  <c r="CU30" i="9"/>
  <c r="CT30" i="9"/>
  <c r="CS30" i="9"/>
  <c r="CU29" i="9"/>
  <c r="CT29" i="9"/>
  <c r="CS29" i="9"/>
  <c r="CU27" i="9"/>
  <c r="CT27" i="9"/>
  <c r="CS27" i="9"/>
  <c r="CU26" i="9"/>
  <c r="CT26" i="9"/>
  <c r="CS26" i="9"/>
  <c r="CU24" i="9"/>
  <c r="CT24" i="9"/>
  <c r="CS24" i="9"/>
  <c r="CU23" i="9"/>
  <c r="CT23" i="9"/>
  <c r="CS23" i="9"/>
  <c r="CU21" i="9"/>
  <c r="CT21" i="9"/>
  <c r="CS21" i="9"/>
  <c r="CU20" i="9"/>
  <c r="CT20" i="9"/>
  <c r="CS20" i="9"/>
  <c r="CU18" i="9"/>
  <c r="CT18" i="9"/>
  <c r="CS18" i="9"/>
  <c r="CU17" i="9"/>
  <c r="CT17" i="9"/>
  <c r="CS17" i="9"/>
  <c r="CU15" i="9"/>
  <c r="CT15" i="9"/>
  <c r="CS15" i="9"/>
  <c r="CU14" i="9"/>
  <c r="CT14" i="9"/>
  <c r="CS14" i="9"/>
  <c r="CU12" i="9"/>
  <c r="CT12" i="9"/>
  <c r="CS12" i="9"/>
  <c r="CU11" i="9"/>
  <c r="CT11" i="9"/>
  <c r="CS11" i="9"/>
  <c r="AI36" i="9"/>
  <c r="AJ36" i="9"/>
  <c r="AM36" i="9"/>
  <c r="AI39" i="9"/>
  <c r="AJ39" i="9"/>
  <c r="AM39" i="9"/>
  <c r="AI42" i="9"/>
  <c r="AJ42" i="9"/>
  <c r="AM42" i="9"/>
  <c r="AI45" i="9"/>
  <c r="AJ45" i="9"/>
  <c r="AM45" i="9"/>
  <c r="AI48" i="9"/>
  <c r="AJ48" i="9"/>
  <c r="AM48" i="9"/>
  <c r="AI51" i="9"/>
  <c r="AJ51" i="9"/>
  <c r="AM51" i="9"/>
  <c r="AI54" i="9"/>
  <c r="AJ54" i="9"/>
  <c r="AM54" i="9"/>
  <c r="AI57" i="9"/>
  <c r="AJ57" i="9"/>
  <c r="AM57" i="9"/>
  <c r="AI60" i="9"/>
  <c r="AJ60" i="9"/>
  <c r="AM60" i="9"/>
  <c r="AI63" i="9"/>
  <c r="AJ63" i="9"/>
  <c r="AM63" i="9"/>
  <c r="AJ66" i="9"/>
  <c r="AM66" i="9"/>
  <c r="AI9" i="9"/>
  <c r="AJ9" i="9"/>
  <c r="AM9" i="9"/>
  <c r="AI12" i="9"/>
  <c r="AJ12" i="9"/>
  <c r="AM12" i="9"/>
  <c r="AI15" i="9"/>
  <c r="AJ15" i="9"/>
  <c r="AM15" i="9"/>
  <c r="AI18" i="9"/>
  <c r="AJ18" i="9"/>
  <c r="AM18" i="9"/>
  <c r="AI21" i="9"/>
  <c r="AJ21" i="9"/>
  <c r="AM21" i="9"/>
  <c r="AI24" i="9"/>
  <c r="AJ24" i="9"/>
  <c r="AM24" i="9"/>
  <c r="AI27" i="9"/>
  <c r="AJ27" i="9"/>
  <c r="AM27" i="9"/>
  <c r="AI30" i="9"/>
  <c r="AJ30" i="9"/>
  <c r="AM30" i="9"/>
  <c r="AI33" i="9"/>
  <c r="AJ33" i="9"/>
  <c r="AM33" i="9"/>
  <c r="AM69" i="9"/>
  <c r="AM72" i="9"/>
  <c r="AM75" i="9"/>
  <c r="AM78" i="9"/>
  <c r="AM81" i="9"/>
  <c r="AM84" i="9"/>
  <c r="AM87" i="9"/>
  <c r="AM90" i="9"/>
  <c r="AM93" i="9"/>
  <c r="AM96" i="9"/>
  <c r="AM99" i="9"/>
  <c r="AM102" i="9"/>
  <c r="AM105" i="9"/>
  <c r="AM108" i="9"/>
  <c r="AQ3" i="9" l="1"/>
  <c r="AQ5" i="9" s="1"/>
  <c r="AN66" i="9" l="1"/>
  <c r="AN180" i="9"/>
  <c r="AN114" i="9"/>
  <c r="AN54" i="9"/>
  <c r="AN216" i="9"/>
  <c r="AN201" i="9"/>
  <c r="AN270" i="9"/>
  <c r="AN141" i="9"/>
  <c r="AN240" i="9"/>
  <c r="AN105" i="9"/>
  <c r="CT52" i="9"/>
  <c r="AN12" i="9"/>
  <c r="AN243" i="9"/>
  <c r="AN33" i="9"/>
  <c r="AN99" i="9"/>
  <c r="AN168" i="9"/>
  <c r="AN57" i="9"/>
  <c r="AN102" i="9"/>
  <c r="AN264" i="9"/>
  <c r="AN51" i="9"/>
  <c r="AN171" i="9"/>
  <c r="AN45" i="9"/>
  <c r="AN252" i="9"/>
  <c r="AN39" i="9"/>
  <c r="AN219" i="9"/>
  <c r="CT49" i="9"/>
  <c r="AN144" i="9"/>
  <c r="AN36" i="9"/>
  <c r="AN30" i="9"/>
  <c r="AN183" i="9"/>
  <c r="AN84" i="9"/>
  <c r="AN237" i="9"/>
  <c r="AN24" i="9"/>
  <c r="AN198" i="9"/>
  <c r="CS97" i="9"/>
  <c r="CT43" i="9"/>
  <c r="CS37" i="9"/>
  <c r="AN138" i="9"/>
  <c r="CT28" i="9"/>
  <c r="AN165" i="9"/>
  <c r="CU82" i="9"/>
  <c r="AN108" i="9"/>
  <c r="AN351" i="9"/>
  <c r="AN366" i="9"/>
  <c r="AN336" i="9"/>
  <c r="CU22" i="9"/>
  <c r="AN225" i="9"/>
  <c r="AN120" i="9"/>
  <c r="CS100" i="9"/>
  <c r="AN78" i="9"/>
  <c r="AN369" i="9"/>
  <c r="AN303" i="9"/>
  <c r="CU55" i="9"/>
  <c r="CU49" i="9"/>
  <c r="AN372" i="9"/>
  <c r="AN309" i="9"/>
  <c r="AN27" i="9"/>
  <c r="AN246" i="9"/>
  <c r="AN75" i="9"/>
  <c r="AN228" i="9"/>
  <c r="AN129" i="9"/>
  <c r="CU25" i="9"/>
  <c r="AN261" i="9"/>
  <c r="AN21" i="9"/>
  <c r="AN222" i="9"/>
  <c r="CS55" i="9"/>
  <c r="AN378" i="9"/>
  <c r="AN363" i="9"/>
  <c r="AN348" i="9"/>
  <c r="AN333" i="9"/>
  <c r="AN321" i="9"/>
  <c r="AN315" i="9"/>
  <c r="AN300" i="9"/>
  <c r="AN288" i="9"/>
  <c r="AN63" i="9"/>
  <c r="AN123" i="9"/>
  <c r="AN42" i="9"/>
  <c r="AN150" i="9"/>
  <c r="AN192" i="9"/>
  <c r="AN111" i="9"/>
  <c r="CU109" i="9"/>
  <c r="AN72" i="9"/>
  <c r="AN156" i="9"/>
  <c r="CU31" i="9"/>
  <c r="CU70" i="9"/>
  <c r="AN135" i="9"/>
  <c r="CU10" i="9"/>
  <c r="AN60" i="9"/>
  <c r="CS64" i="9"/>
  <c r="CT31" i="9"/>
  <c r="CS106" i="9"/>
  <c r="CU37" i="9"/>
  <c r="CT64" i="9"/>
  <c r="CT61" i="9"/>
  <c r="AN267" i="9"/>
  <c r="CU64" i="9"/>
  <c r="CS70" i="9"/>
  <c r="CU100" i="9"/>
  <c r="CU40" i="9"/>
  <c r="CU76" i="9"/>
  <c r="AN345" i="9"/>
  <c r="AN330" i="9"/>
  <c r="CU34" i="9"/>
  <c r="AN96" i="9"/>
  <c r="CT10" i="9"/>
  <c r="AN15" i="9"/>
  <c r="AN87" i="9"/>
  <c r="CT73" i="9"/>
  <c r="AN204" i="9"/>
  <c r="AN93" i="9"/>
  <c r="AN153" i="9"/>
  <c r="AN213" i="9"/>
  <c r="AN18" i="9"/>
  <c r="CS25" i="9"/>
  <c r="AN249" i="9"/>
  <c r="AN81" i="9"/>
  <c r="AN90" i="9"/>
  <c r="AN186" i="9"/>
  <c r="AN210" i="9"/>
  <c r="AN258" i="9"/>
  <c r="CS40" i="9"/>
  <c r="CU73" i="9"/>
  <c r="AN276" i="9"/>
  <c r="AN69" i="9"/>
  <c r="CU61" i="9"/>
  <c r="CT70" i="9"/>
  <c r="CU88" i="9"/>
  <c r="CS13" i="9"/>
  <c r="AN354" i="9"/>
  <c r="AN324" i="9"/>
  <c r="AN255" i="9"/>
  <c r="AN132" i="9"/>
  <c r="CT82" i="9"/>
  <c r="CT109" i="9"/>
  <c r="AN147" i="9"/>
  <c r="CS67" i="9"/>
  <c r="AN285" i="9"/>
  <c r="CS43" i="9"/>
  <c r="CS16" i="9"/>
  <c r="CT103" i="9"/>
  <c r="CU28" i="9"/>
  <c r="CU94" i="9"/>
  <c r="CT19" i="9"/>
  <c r="AN339" i="9"/>
  <c r="AN282" i="9"/>
  <c r="CU106" i="9"/>
  <c r="AN306" i="9"/>
  <c r="AN291" i="9"/>
  <c r="AN279" i="9"/>
  <c r="CS31" i="9"/>
  <c r="CS103" i="9"/>
  <c r="CS73" i="9"/>
  <c r="CT88" i="9"/>
  <c r="CU103" i="9"/>
  <c r="AN207" i="9"/>
  <c r="CT58" i="9"/>
  <c r="AN117" i="9"/>
  <c r="AN9" i="9"/>
  <c r="CS10" i="9"/>
  <c r="AN48" i="9"/>
  <c r="AN177" i="9"/>
  <c r="CT100" i="9"/>
  <c r="AN234" i="9"/>
  <c r="CT55" i="9"/>
  <c r="CU43" i="9"/>
  <c r="AN189" i="9"/>
  <c r="CT94" i="9"/>
  <c r="CU52" i="9"/>
  <c r="CT25" i="9"/>
  <c r="CS85" i="9"/>
  <c r="CT22" i="9"/>
  <c r="CS109" i="9"/>
  <c r="CS28" i="9"/>
  <c r="CT106" i="9"/>
  <c r="CU46" i="9"/>
  <c r="CT37" i="9"/>
  <c r="CS76" i="9"/>
  <c r="CT76" i="9"/>
  <c r="CT34" i="9"/>
  <c r="CU85" i="9"/>
  <c r="CT46" i="9"/>
  <c r="CU97" i="9"/>
  <c r="CU58" i="9"/>
  <c r="CS19" i="9"/>
  <c r="AN375" i="9"/>
  <c r="AN357" i="9"/>
  <c r="AN342" i="9"/>
  <c r="AN327" i="9"/>
  <c r="AN312" i="9"/>
  <c r="AN297" i="9"/>
  <c r="CS52" i="9"/>
  <c r="AN273" i="9"/>
  <c r="AN195" i="9"/>
  <c r="CU16" i="9"/>
  <c r="CU79" i="9"/>
  <c r="CS22" i="9"/>
  <c r="AN126" i="9"/>
  <c r="AN174" i="9"/>
  <c r="AN231" i="9"/>
  <c r="CT97" i="9"/>
  <c r="AN159" i="9"/>
  <c r="CS82" i="9"/>
  <c r="CS49" i="9"/>
  <c r="AN162" i="9"/>
  <c r="AN318" i="9"/>
  <c r="CT16" i="9"/>
  <c r="CT91" i="9"/>
  <c r="CS61" i="9"/>
  <c r="CS79" i="9"/>
  <c r="CS34" i="9"/>
  <c r="CS94" i="9"/>
  <c r="AN360" i="9"/>
  <c r="AN294" i="9"/>
  <c r="CT67" i="9"/>
  <c r="CU13" i="9"/>
  <c r="CU19" i="9"/>
  <c r="CU91" i="9"/>
  <c r="CS46" i="9"/>
  <c r="CU67" i="9"/>
  <c r="CT40" i="9"/>
  <c r="CS58" i="9"/>
  <c r="CT13" i="9"/>
  <c r="CT79" i="9"/>
  <c r="CS88" i="9"/>
  <c r="CT85" i="9"/>
  <c r="CS91" i="9"/>
</calcChain>
</file>

<file path=xl/sharedStrings.xml><?xml version="1.0" encoding="utf-8"?>
<sst xmlns="http://schemas.openxmlformats.org/spreadsheetml/2006/main" count="422" uniqueCount="53">
  <si>
    <t>Nr.
crt.</t>
  </si>
  <si>
    <t>Numele si 
prenumele salariatului</t>
  </si>
  <si>
    <t>Program de lucru</t>
  </si>
  <si>
    <t>DATA</t>
  </si>
  <si>
    <t>Santier</t>
  </si>
  <si>
    <t xml:space="preserve"> ORE LUCRATE</t>
  </si>
  <si>
    <t xml:space="preserve">ore compensate </t>
  </si>
  <si>
    <t>CO/ ORE</t>
  </si>
  <si>
    <t>TOTAL ORE</t>
  </si>
  <si>
    <t>zile lucrate</t>
  </si>
  <si>
    <t>tarif/h</t>
  </si>
  <si>
    <t>Ore</t>
  </si>
  <si>
    <t>lucrate</t>
  </si>
  <si>
    <t>Liber platit/ore</t>
  </si>
  <si>
    <t>LL</t>
  </si>
  <si>
    <t>Concediu medical</t>
  </si>
  <si>
    <t>VS</t>
  </si>
  <si>
    <t>T</t>
  </si>
  <si>
    <t>Sb</t>
  </si>
  <si>
    <t>TRACTORULUI</t>
  </si>
  <si>
    <t>SIBIEL</t>
  </si>
  <si>
    <t>TRACTORULUI/ ORE</t>
  </si>
  <si>
    <t>TRACTORULUI/ SALAR</t>
  </si>
  <si>
    <t>VICTORIA SPITAL / ORE</t>
  </si>
  <si>
    <t>VICTORIA SPITAL / SALAR</t>
  </si>
  <si>
    <t>SIBIEL/ ORE</t>
  </si>
  <si>
    <t>SIBIEL/ SALAR</t>
  </si>
  <si>
    <t>SALAR ORE LUCRATE IANUARIE 2025</t>
  </si>
  <si>
    <t>total</t>
  </si>
  <si>
    <t>BAZIN UCEA/ SALAR</t>
  </si>
  <si>
    <t>BAZIN UCEA/ ORE</t>
  </si>
  <si>
    <t xml:space="preserve">CASA DE CULTURA/ ORE </t>
  </si>
  <si>
    <t xml:space="preserve">CASA DE CULTURA/ SALAR </t>
  </si>
  <si>
    <t xml:space="preserve">BLOC 3/ ORE </t>
  </si>
  <si>
    <t>BLOC 3 / SALAR</t>
  </si>
  <si>
    <t>BLOC 14 / ORE</t>
  </si>
  <si>
    <t>BLOC 14 / SALAR</t>
  </si>
  <si>
    <t>TRACTORULUI/ ORE MUNCITE</t>
  </si>
  <si>
    <t>VICTORIA SPITAL /  ORE MUNCITE</t>
  </si>
  <si>
    <t>SIBIEL / ORE MUNCITE</t>
  </si>
  <si>
    <t>BAZIN UCEA/ ORE MUNCITE</t>
  </si>
  <si>
    <t>CASA DE CULTURA/ ORE MUNCITE</t>
  </si>
  <si>
    <t>BLOC 3/ ORE MUNCITE</t>
  </si>
  <si>
    <t>BLOC 14/ ORE MUNCITE</t>
  </si>
  <si>
    <t>VB</t>
  </si>
  <si>
    <t>VICTORIA BAZIN UCEA</t>
  </si>
  <si>
    <t>VICTORIA SPITAL</t>
  </si>
  <si>
    <t>CASA DE CULTURA</t>
  </si>
  <si>
    <t>VCC</t>
  </si>
  <si>
    <t>VB3</t>
  </si>
  <si>
    <t>VICTORIA BLOC 3</t>
  </si>
  <si>
    <t>VB14</t>
  </si>
  <si>
    <t>VICTORIA BLOC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</si>
</sst>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;[Red]0"/>
  </numFmts>
  <fonts count="2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  <font>
      <b/>
      <i/>
      <sz val="10"/>
      <name val="Times New Roman"/>
      <family val="1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name val="Times New Roman"/>
      <family val="1"/>
    </font>
    <font>
      <sz val="12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theme="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000000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ck">
        <color indexed="64"/>
      </right>
      <top style="medium">
        <color auto="1"/>
      </top>
      <bottom/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medium">
        <color auto="1"/>
      </left>
      <right style="thick">
        <color indexed="64"/>
      </right>
      <top/>
      <bottom style="medium">
        <color rgb="FF000000"/>
      </bottom>
      <diagonal/>
    </border>
    <border>
      <left style="medium">
        <color indexed="64"/>
      </left>
      <right style="thick">
        <color indexed="64"/>
      </right>
      <top style="medium">
        <color rgb="FF000000"/>
      </top>
      <bottom/>
      <diagonal/>
    </border>
    <border>
      <left style="thick">
        <color indexed="64"/>
      </left>
      <right style="thin">
        <color indexed="64"/>
      </right>
      <top style="thick">
        <color rgb="FF000000"/>
      </top>
      <bottom/>
      <diagonal/>
    </border>
    <border>
      <left style="thick">
        <color indexed="64"/>
      </left>
      <right style="thin">
        <color auto="1"/>
      </right>
      <top style="medium">
        <color auto="1"/>
      </top>
      <bottom/>
      <diagonal/>
    </border>
    <border>
      <left style="thick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 style="thin">
        <color auto="1"/>
      </top>
      <bottom/>
      <diagonal/>
    </border>
    <border>
      <left style="medium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 style="thick">
        <color indexed="64"/>
      </bottom>
      <diagonal/>
    </border>
  </borders>
  <cellStyleXfs count="2553">
    <xf numFmtId="0" fontId="0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4">
    <xf numFmtId="0" fontId="0" fillId="0" borderId="0" xfId="0"/>
    <xf numFmtId="0" fontId="2" fillId="2" borderId="4" xfId="1" applyFont="1" applyFill="1" applyBorder="1" applyAlignment="1">
      <alignment vertical="center" wrapText="1"/>
    </xf>
    <xf numFmtId="0" fontId="0" fillId="2" borderId="0" xfId="0" applyFill="1"/>
    <xf numFmtId="0" fontId="5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 wrapText="1"/>
    </xf>
    <xf numFmtId="0" fontId="15" fillId="7" borderId="17" xfId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/>
    </xf>
    <xf numFmtId="165" fontId="0" fillId="2" borderId="0" xfId="0" applyNumberFormat="1" applyFill="1"/>
    <xf numFmtId="0" fontId="17" fillId="2" borderId="1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0" fontId="16" fillId="0" borderId="0" xfId="0" applyFont="1"/>
    <xf numFmtId="0" fontId="17" fillId="2" borderId="1" xfId="0" applyFont="1" applyFill="1" applyBorder="1" applyAlignment="1">
      <alignment horizontal="center"/>
    </xf>
    <xf numFmtId="165" fontId="17" fillId="2" borderId="6" xfId="0" applyNumberFormat="1" applyFont="1" applyFill="1" applyBorder="1" applyAlignment="1">
      <alignment horizontal="center"/>
    </xf>
    <xf numFmtId="0" fontId="15" fillId="10" borderId="17" xfId="1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/>
    </xf>
    <xf numFmtId="165" fontId="13" fillId="2" borderId="6" xfId="0" applyNumberFormat="1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/>
    </xf>
    <xf numFmtId="165" fontId="13" fillId="2" borderId="6" xfId="0" applyNumberFormat="1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0" fillId="0" borderId="6" xfId="0" applyBorder="1"/>
    <xf numFmtId="0" fontId="13" fillId="2" borderId="6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8" fillId="8" borderId="20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20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14" fillId="0" borderId="0" xfId="0" applyFont="1"/>
    <xf numFmtId="0" fontId="14" fillId="0" borderId="6" xfId="0" applyFont="1" applyBorder="1"/>
    <xf numFmtId="165" fontId="14" fillId="0" borderId="6" xfId="0" applyNumberFormat="1" applyFont="1" applyBorder="1"/>
    <xf numFmtId="0" fontId="13" fillId="11" borderId="2" xfId="0" applyFont="1" applyFill="1" applyBorder="1" applyAlignment="1">
      <alignment horizontal="center" vertical="center"/>
    </xf>
    <xf numFmtId="164" fontId="18" fillId="11" borderId="9" xfId="0" applyNumberFormat="1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8" fillId="11" borderId="20" xfId="0" applyFont="1" applyFill="1" applyBorder="1" applyAlignment="1">
      <alignment horizontal="center"/>
    </xf>
    <xf numFmtId="164" fontId="18" fillId="11" borderId="1" xfId="0" applyNumberFormat="1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165" fontId="14" fillId="11" borderId="1" xfId="0" applyNumberFormat="1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16" fillId="11" borderId="6" xfId="0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165" fontId="14" fillId="0" borderId="0" xfId="0" applyNumberFormat="1" applyFont="1"/>
    <xf numFmtId="0" fontId="6" fillId="12" borderId="11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3" fontId="14" fillId="0" borderId="6" xfId="0" applyNumberFormat="1" applyFont="1" applyBorder="1"/>
    <xf numFmtId="0" fontId="6" fillId="2" borderId="18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3" fontId="17" fillId="7" borderId="6" xfId="0" applyNumberFormat="1" applyFont="1" applyFill="1" applyBorder="1" applyAlignment="1">
      <alignment horizontal="center"/>
    </xf>
    <xf numFmtId="3" fontId="17" fillId="7" borderId="1" xfId="0" applyNumberFormat="1" applyFont="1" applyFill="1" applyBorder="1" applyAlignment="1">
      <alignment horizontal="center"/>
    </xf>
    <xf numFmtId="3" fontId="4" fillId="2" borderId="31" xfId="1" applyNumberFormat="1" applyFont="1" applyFill="1" applyBorder="1" applyAlignment="1">
      <alignment horizontal="center"/>
    </xf>
    <xf numFmtId="165" fontId="4" fillId="2" borderId="31" xfId="1" applyNumberFormat="1" applyFont="1" applyFill="1" applyBorder="1" applyAlignment="1">
      <alignment horizontal="center"/>
    </xf>
    <xf numFmtId="3" fontId="4" fillId="2" borderId="32" xfId="1" applyNumberFormat="1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 wrapText="1"/>
    </xf>
    <xf numFmtId="0" fontId="5" fillId="4" borderId="37" xfId="0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3" fontId="22" fillId="4" borderId="37" xfId="0" applyNumberFormat="1" applyFont="1" applyFill="1" applyBorder="1" applyAlignment="1">
      <alignment horizontal="center"/>
    </xf>
    <xf numFmtId="165" fontId="22" fillId="4" borderId="37" xfId="0" applyNumberFormat="1" applyFont="1" applyFill="1" applyBorder="1" applyAlignment="1">
      <alignment horizontal="center"/>
    </xf>
    <xf numFmtId="3" fontId="22" fillId="4" borderId="42" xfId="0" applyNumberFormat="1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 wrapText="1"/>
    </xf>
    <xf numFmtId="3" fontId="17" fillId="5" borderId="9" xfId="0" applyNumberFormat="1" applyFont="1" applyFill="1" applyBorder="1" applyAlignment="1">
      <alignment horizontal="center"/>
    </xf>
    <xf numFmtId="3" fontId="17" fillId="2" borderId="9" xfId="0" applyNumberFormat="1" applyFont="1" applyFill="1" applyBorder="1" applyAlignment="1">
      <alignment horizontal="center"/>
    </xf>
    <xf numFmtId="0" fontId="21" fillId="2" borderId="0" xfId="0" applyFont="1" applyFill="1"/>
    <xf numFmtId="0" fontId="23" fillId="2" borderId="0" xfId="0" applyFont="1" applyFill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4" fillId="0" borderId="2" xfId="0" applyFont="1" applyBorder="1"/>
    <xf numFmtId="3" fontId="14" fillId="0" borderId="2" xfId="0" applyNumberFormat="1" applyFont="1" applyBorder="1"/>
    <xf numFmtId="0" fontId="23" fillId="0" borderId="0" xfId="0" applyFont="1"/>
    <xf numFmtId="165" fontId="23" fillId="0" borderId="0" xfId="0" applyNumberFormat="1" applyFont="1"/>
    <xf numFmtId="0" fontId="14" fillId="0" borderId="6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3" fontId="17" fillId="0" borderId="1" xfId="0" applyNumberFormat="1" applyFont="1" applyBorder="1"/>
    <xf numFmtId="0" fontId="25" fillId="0" borderId="0" xfId="0" applyFont="1" applyAlignment="1">
      <alignment horizontal="center"/>
    </xf>
    <xf numFmtId="0" fontId="25" fillId="0" borderId="0" xfId="0" applyFont="1"/>
    <xf numFmtId="0" fontId="25" fillId="0" borderId="6" xfId="0" applyFont="1" applyBorder="1"/>
    <xf numFmtId="0" fontId="25" fillId="2" borderId="0" xfId="0" applyFont="1" applyFill="1"/>
    <xf numFmtId="0" fontId="24" fillId="2" borderId="0" xfId="0" applyFont="1" applyFill="1"/>
    <xf numFmtId="0" fontId="25" fillId="0" borderId="2" xfId="0" applyFont="1" applyBorder="1"/>
    <xf numFmtId="0" fontId="24" fillId="0" borderId="0" xfId="0" applyFont="1"/>
    <xf numFmtId="0" fontId="25" fillId="2" borderId="0" xfId="0" applyFont="1" applyFill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5" xfId="0" applyFont="1" applyBorder="1"/>
    <xf numFmtId="2" fontId="14" fillId="0" borderId="0" xfId="0" applyNumberFormat="1" applyFont="1"/>
    <xf numFmtId="2" fontId="6" fillId="12" borderId="12" xfId="0" applyNumberFormat="1" applyFont="1" applyFill="1" applyBorder="1" applyAlignment="1">
      <alignment horizontal="right"/>
    </xf>
    <xf numFmtId="2" fontId="25" fillId="0" borderId="0" xfId="0" applyNumberFormat="1" applyFont="1"/>
    <xf numFmtId="2" fontId="25" fillId="0" borderId="5" xfId="0" applyNumberFormat="1" applyFont="1" applyBorder="1"/>
    <xf numFmtId="2" fontId="13" fillId="2" borderId="2" xfId="0" applyNumberFormat="1" applyFont="1" applyFill="1" applyBorder="1" applyAlignment="1">
      <alignment horizontal="center" vertical="center" wrapText="1"/>
    </xf>
    <xf numFmtId="2" fontId="17" fillId="3" borderId="9" xfId="0" applyNumberFormat="1" applyFont="1" applyFill="1" applyBorder="1" applyAlignment="1">
      <alignment horizontal="center"/>
    </xf>
    <xf numFmtId="2" fontId="17" fillId="3" borderId="18" xfId="0" applyNumberFormat="1" applyFont="1" applyFill="1" applyBorder="1" applyAlignment="1">
      <alignment horizontal="center"/>
    </xf>
    <xf numFmtId="2" fontId="17" fillId="3" borderId="6" xfId="0" applyNumberFormat="1" applyFont="1" applyFill="1" applyBorder="1" applyAlignment="1">
      <alignment horizontal="center"/>
    </xf>
    <xf numFmtId="0" fontId="11" fillId="2" borderId="3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5" fontId="11" fillId="6" borderId="34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9" fillId="2" borderId="34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left" vertical="center" wrapText="1"/>
    </xf>
    <xf numFmtId="0" fontId="11" fillId="6" borderId="35" xfId="0" applyFont="1" applyFill="1" applyBorder="1" applyAlignment="1">
      <alignment horizontal="left" vertical="center" wrapText="1"/>
    </xf>
    <xf numFmtId="0" fontId="11" fillId="6" borderId="36" xfId="0" applyFont="1" applyFill="1" applyBorder="1" applyAlignment="1">
      <alignment horizontal="left" vertical="center" wrapText="1"/>
    </xf>
    <xf numFmtId="0" fontId="7" fillId="4" borderId="5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 wrapText="1"/>
    </xf>
    <xf numFmtId="165" fontId="11" fillId="2" borderId="34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20" fillId="2" borderId="26" xfId="1" applyFont="1" applyFill="1" applyBorder="1" applyAlignment="1">
      <alignment horizontal="center" vertical="center"/>
    </xf>
    <xf numFmtId="0" fontId="20" fillId="2" borderId="25" xfId="1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51" xfId="1" applyFont="1" applyFill="1" applyBorder="1" applyAlignment="1">
      <alignment horizontal="center" vertical="center"/>
    </xf>
    <xf numFmtId="0" fontId="7" fillId="2" borderId="54" xfId="1" applyFont="1" applyFill="1" applyBorder="1" applyAlignment="1">
      <alignment horizontal="center" vertical="center"/>
    </xf>
    <xf numFmtId="0" fontId="7" fillId="2" borderId="55" xfId="1" applyFont="1" applyFill="1" applyBorder="1" applyAlignment="1">
      <alignment horizontal="center" vertical="center"/>
    </xf>
    <xf numFmtId="0" fontId="7" fillId="2" borderId="56" xfId="1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11" fillId="2" borderId="21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19" fillId="2" borderId="28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65" fontId="11" fillId="6" borderId="28" xfId="0" applyNumberFormat="1" applyFont="1" applyFill="1" applyBorder="1" applyAlignment="1">
      <alignment horizontal="center" vertical="center"/>
    </xf>
    <xf numFmtId="165" fontId="11" fillId="6" borderId="6" xfId="0" applyNumberFormat="1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65" fontId="11" fillId="2" borderId="28" xfId="0" applyNumberFormat="1" applyFont="1" applyFill="1" applyBorder="1" applyAlignment="1">
      <alignment horizontal="center" vertical="center"/>
    </xf>
    <xf numFmtId="165" fontId="11" fillId="2" borderId="6" xfId="0" applyNumberFormat="1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left" vertical="center" wrapText="1"/>
    </xf>
    <xf numFmtId="0" fontId="11" fillId="4" borderId="35" xfId="0" applyFont="1" applyFill="1" applyBorder="1" applyAlignment="1">
      <alignment horizontal="left" vertical="center" wrapText="1"/>
    </xf>
    <xf numFmtId="0" fontId="11" fillId="4" borderId="38" xfId="0" applyFont="1" applyFill="1" applyBorder="1" applyAlignment="1">
      <alignment horizontal="left" vertical="center" wrapText="1"/>
    </xf>
    <xf numFmtId="0" fontId="19" fillId="4" borderId="34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5" fontId="11" fillId="4" borderId="34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left" vertical="center" wrapText="1"/>
    </xf>
    <xf numFmtId="0" fontId="11" fillId="4" borderId="40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</cellXfs>
  <cellStyles count="2553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Normal" xfId="0" builtinId="0"/>
    <cellStyle name="Normal 2" xfId="2" xr:uid="{00000000-0005-0000-0000-0000F7090000}"/>
    <cellStyle name="Normal_PONTAJ CODUL MUNCII MODIFICAT" xfId="1" xr:uid="{00000000-0005-0000-0000-0000F80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E826"/>
  <sheetViews>
    <sheetView tabSelected="1" topLeftCell="A340" zoomScale="90" zoomScaleNormal="90" zoomScaleSheetLayoutView="75" zoomScalePageLayoutView="75" workbookViewId="0">
      <selection activeCell="S368" sqref="S368"/>
    </sheetView>
  </sheetViews>
  <sheetFormatPr baseColWidth="10" defaultRowHeight="16" x14ac:dyDescent="0.2"/>
  <cols>
    <col min="1" max="1" width="4" customWidth="1"/>
    <col min="2" max="2" width="21.33203125" customWidth="1"/>
    <col min="4" max="5" width="4.33203125" bestFit="1" customWidth="1"/>
    <col min="6" max="6" width="6.83203125" customWidth="1"/>
    <col min="7" max="7" width="5.33203125" customWidth="1"/>
    <col min="8" max="8" width="6.6640625" customWidth="1"/>
    <col min="9" max="9" width="5.1640625" customWidth="1"/>
    <col min="10" max="10" width="4.1640625" bestFit="1" customWidth="1"/>
    <col min="11" max="11" width="6.6640625" customWidth="1"/>
    <col min="12" max="12" width="5.5" customWidth="1"/>
    <col min="13" max="13" width="6.83203125" customWidth="1"/>
    <col min="14" max="14" width="6.5" customWidth="1"/>
    <col min="15" max="15" width="6.83203125" bestFit="1" customWidth="1"/>
    <col min="16" max="16" width="5.6640625" customWidth="1"/>
    <col min="17" max="17" width="6.1640625" bestFit="1" customWidth="1"/>
    <col min="18" max="19" width="6.83203125" bestFit="1" customWidth="1"/>
    <col min="20" max="20" width="7.5" customWidth="1"/>
    <col min="21" max="21" width="6.83203125" bestFit="1" customWidth="1"/>
    <col min="22" max="23" width="5.5" customWidth="1"/>
    <col min="24" max="24" width="6.1640625" bestFit="1" customWidth="1"/>
    <col min="25" max="28" width="6.83203125" bestFit="1" customWidth="1"/>
    <col min="29" max="29" width="5.83203125" customWidth="1"/>
    <col min="30" max="30" width="7" customWidth="1"/>
    <col min="31" max="31" width="6.6640625" customWidth="1"/>
    <col min="32" max="32" width="6.83203125" bestFit="1" customWidth="1"/>
    <col min="33" max="34" width="6" customWidth="1"/>
    <col min="35" max="35" width="8.33203125" customWidth="1"/>
    <col min="36" max="36" width="8.6640625" bestFit="1" customWidth="1"/>
    <col min="37" max="37" width="8.33203125" customWidth="1"/>
    <col min="38" max="38" width="5.5" customWidth="1"/>
    <col min="39" max="39" width="6.83203125" customWidth="1"/>
    <col min="40" max="40" width="8.83203125" style="112" customWidth="1"/>
    <col min="41" max="42" width="8.83203125" style="113" customWidth="1"/>
    <col min="43" max="43" width="14.33203125" style="124" customWidth="1"/>
    <col min="45" max="46" width="10.83203125" style="113"/>
    <col min="47" max="47" width="15.33203125" style="113" customWidth="1"/>
    <col min="48" max="48" width="10.83203125" style="113"/>
    <col min="49" max="49" width="8" style="113" customWidth="1"/>
    <col min="50" max="66" width="10.83203125" style="113"/>
  </cols>
  <sheetData>
    <row r="2" spans="1:103" ht="19" x14ac:dyDescent="0.25">
      <c r="AN2" s="112" t="s">
        <v>17</v>
      </c>
      <c r="AO2" s="64" t="s">
        <v>19</v>
      </c>
      <c r="AP2" s="64"/>
      <c r="AQ2" s="122">
        <f>SUM(AT:AT)</f>
        <v>0</v>
      </c>
      <c r="AR2" s="64"/>
      <c r="AS2" s="112" t="s">
        <v>44</v>
      </c>
      <c r="AT2" s="64" t="s">
        <v>45</v>
      </c>
      <c r="AU2" s="64"/>
      <c r="AV2" s="80">
        <f>SUM(AZ:AZ)</f>
        <v>0</v>
      </c>
    </row>
    <row r="3" spans="1:103" ht="19" x14ac:dyDescent="0.25">
      <c r="AN3" s="112" t="s">
        <v>16</v>
      </c>
      <c r="AO3" s="64" t="s">
        <v>46</v>
      </c>
      <c r="AP3" s="64"/>
      <c r="AQ3" s="122">
        <f>SUM(AV:AV)</f>
        <v>0</v>
      </c>
      <c r="AR3" s="64"/>
      <c r="AS3" s="112" t="s">
        <v>48</v>
      </c>
      <c r="AT3" s="64" t="s">
        <v>47</v>
      </c>
      <c r="AU3" s="64"/>
      <c r="AV3" s="64">
        <f>SUM(BB:BB)</f>
        <v>0</v>
      </c>
    </row>
    <row r="4" spans="1:103" ht="19" x14ac:dyDescent="0.25">
      <c r="AN4" s="112" t="s">
        <v>18</v>
      </c>
      <c r="AO4" s="64" t="s">
        <v>20</v>
      </c>
      <c r="AP4" s="64"/>
      <c r="AQ4" s="122">
        <f>SUM(AX:AX)</f>
        <v>0</v>
      </c>
      <c r="AR4" s="64"/>
      <c r="AS4" s="112" t="s">
        <v>49</v>
      </c>
      <c r="AT4" s="64" t="s">
        <v>50</v>
      </c>
      <c r="AU4" s="64"/>
      <c r="AV4" s="64">
        <f>SUM(BD:BD)</f>
        <v>0</v>
      </c>
    </row>
    <row r="5" spans="1:103" ht="24" thickBot="1" x14ac:dyDescent="0.3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4"/>
      <c r="AJ5" s="9"/>
      <c r="AK5" s="9"/>
      <c r="AL5" s="9"/>
      <c r="AM5" s="9"/>
      <c r="AN5" s="119"/>
      <c r="AO5" s="81" t="s">
        <v>28</v>
      </c>
      <c r="AP5" s="82"/>
      <c r="AQ5" s="123">
        <f>AQ2+AQ3+AQ4+AV2+AV3+AV4+AV5</f>
        <v>0</v>
      </c>
      <c r="AR5" s="63"/>
      <c r="AS5" s="112" t="s">
        <v>51</v>
      </c>
      <c r="AT5" s="64" t="s">
        <v>52</v>
      </c>
      <c r="AU5" s="64"/>
      <c r="AV5" s="64">
        <f>SUM(BF:BF)</f>
        <v>0</v>
      </c>
    </row>
    <row r="6" spans="1:103" ht="22" thickBot="1" x14ac:dyDescent="0.3">
      <c r="B6" s="38"/>
      <c r="AR6" s="35"/>
    </row>
    <row r="7" spans="1:103" ht="37" customHeight="1" thickBot="1" x14ac:dyDescent="0.25">
      <c r="A7" s="13"/>
      <c r="B7" s="1"/>
      <c r="C7" s="145" t="s">
        <v>2</v>
      </c>
      <c r="D7" s="149" t="s">
        <v>3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4"/>
      <c r="AJ7" s="15"/>
      <c r="AK7" s="15"/>
      <c r="AL7" s="16"/>
      <c r="AM7" s="16"/>
      <c r="AN7" s="120"/>
      <c r="AO7" s="121"/>
      <c r="AP7" s="121"/>
      <c r="AQ7" s="125"/>
      <c r="AR7" s="14"/>
    </row>
    <row r="8" spans="1:103" ht="96" thickBot="1" x14ac:dyDescent="0.25">
      <c r="A8" s="13" t="s">
        <v>0</v>
      </c>
      <c r="B8" s="1" t="s">
        <v>1</v>
      </c>
      <c r="C8" s="146"/>
      <c r="D8" s="85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37" t="s">
        <v>5</v>
      </c>
      <c r="AJ8" s="23" t="s">
        <v>14</v>
      </c>
      <c r="AK8" s="41" t="s">
        <v>6</v>
      </c>
      <c r="AL8" s="19" t="s">
        <v>13</v>
      </c>
      <c r="AM8" s="20" t="s">
        <v>7</v>
      </c>
      <c r="AN8" s="42" t="s">
        <v>8</v>
      </c>
      <c r="AO8" s="22" t="s">
        <v>9</v>
      </c>
      <c r="AP8" s="67" t="s">
        <v>10</v>
      </c>
      <c r="AQ8" s="126" t="s">
        <v>27</v>
      </c>
      <c r="AR8" s="50" t="s">
        <v>15</v>
      </c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CD8" s="50" t="s">
        <v>21</v>
      </c>
      <c r="CE8" s="50" t="s">
        <v>22</v>
      </c>
      <c r="CF8" s="50" t="s">
        <v>23</v>
      </c>
      <c r="CG8" s="50" t="s">
        <v>24</v>
      </c>
      <c r="CH8" s="50" t="s">
        <v>25</v>
      </c>
      <c r="CI8" s="109" t="s">
        <v>26</v>
      </c>
      <c r="CJ8" s="50" t="s">
        <v>30</v>
      </c>
      <c r="CK8" s="50" t="s">
        <v>29</v>
      </c>
      <c r="CL8" s="50" t="s">
        <v>31</v>
      </c>
      <c r="CM8" s="50" t="s">
        <v>32</v>
      </c>
      <c r="CN8" s="110" t="s">
        <v>33</v>
      </c>
      <c r="CO8" s="110" t="s">
        <v>34</v>
      </c>
      <c r="CP8" s="110" t="s">
        <v>35</v>
      </c>
      <c r="CQ8" s="110" t="s">
        <v>36</v>
      </c>
      <c r="CS8" s="50" t="s">
        <v>37</v>
      </c>
      <c r="CT8" s="50" t="s">
        <v>38</v>
      </c>
      <c r="CU8" s="50" t="s">
        <v>39</v>
      </c>
      <c r="CV8" s="110" t="s">
        <v>40</v>
      </c>
      <c r="CW8" s="110" t="s">
        <v>41</v>
      </c>
      <c r="CX8" s="110" t="s">
        <v>42</v>
      </c>
      <c r="CY8" s="110" t="s">
        <v>43</v>
      </c>
    </row>
    <row r="9" spans="1:103" ht="21" thickTop="1" thickBot="1" x14ac:dyDescent="0.3">
      <c r="A9" s="144">
        <v>1</v>
      </c>
      <c r="B9" s="138"/>
      <c r="C9" s="91" t="s">
        <v>11</v>
      </c>
      <c r="D9" s="136"/>
      <c r="E9" s="136"/>
      <c r="F9" s="130"/>
      <c r="G9" s="132"/>
      <c r="H9" s="134"/>
      <c r="I9" s="134"/>
      <c r="J9" s="130"/>
      <c r="K9" s="130"/>
      <c r="L9" s="130"/>
      <c r="M9" s="130"/>
      <c r="N9" s="132"/>
      <c r="O9" s="134"/>
      <c r="P9" s="134"/>
      <c r="Q9" s="130"/>
      <c r="R9" s="130"/>
      <c r="S9" s="130"/>
      <c r="T9" s="147"/>
      <c r="U9" s="132"/>
      <c r="V9" s="134"/>
      <c r="W9" s="134"/>
      <c r="X9" s="130"/>
      <c r="Y9" s="130"/>
      <c r="Z9" s="132"/>
      <c r="AA9" s="132"/>
      <c r="AB9" s="130"/>
      <c r="AC9" s="134"/>
      <c r="AD9" s="134"/>
      <c r="AE9" s="134"/>
      <c r="AF9" s="134"/>
      <c r="AG9" s="130"/>
      <c r="AH9" s="151"/>
      <c r="AI9" s="159">
        <f>SUM(D9:AH9)</f>
        <v>0</v>
      </c>
      <c r="AJ9" s="86">
        <f>SUMIF(D11:AH11, "LL", D9:AH9) + SUMIF(D11:AH11, "LL", D10:AH10)</f>
        <v>0</v>
      </c>
      <c r="AK9" s="31"/>
      <c r="AL9" s="31"/>
      <c r="AM9" s="99">
        <f>SUMIF(D11:AH11, "CO", D9:AH9) + SUMIF(D11:AH11, "CO", D10:AH10)</f>
        <v>0</v>
      </c>
      <c r="AN9" s="51">
        <f ca="1">SUM(AI9:CA9)</f>
        <v>0</v>
      </c>
      <c r="AO9" s="103"/>
      <c r="AP9" s="68"/>
      <c r="AQ9" s="127"/>
      <c r="AR9" s="40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CD9" s="83">
        <f t="shared" ref="CD9:CD40" si="0">SUMIF(D11:AH11,"T",D9:AH9)</f>
        <v>0</v>
      </c>
      <c r="CE9" s="66">
        <f t="shared" ref="CE9:CE40" si="1">AP9*CD9</f>
        <v>0</v>
      </c>
      <c r="CF9" s="83">
        <f t="shared" ref="CF9:CF40" si="2">SUMIF(D11:AH11,"VS",D9:AH9)</f>
        <v>0</v>
      </c>
      <c r="CG9" s="65">
        <f t="shared" ref="CG9:CG40" si="3">AP9*CF9</f>
        <v>0</v>
      </c>
      <c r="CH9" s="83">
        <f t="shared" ref="CH9:CH40" si="4">SUMIF(D11:AH11,"Sb",D9:AH9)</f>
        <v>0</v>
      </c>
      <c r="CI9" s="65">
        <f t="shared" ref="CI9:CI40" si="5">AP9*CH9</f>
        <v>0</v>
      </c>
      <c r="CJ9" s="83">
        <f t="shared" ref="CJ9:CJ40" si="6">SUMIF(D11:AH11,"VB",D9:AH9)</f>
        <v>0</v>
      </c>
      <c r="CK9" s="65">
        <f t="shared" ref="CK9:CK40" si="7">AP9*CJ9</f>
        <v>0</v>
      </c>
      <c r="CL9" s="83">
        <f t="shared" ref="CL9:CL40" si="8">SUMIF(D11:AH11,"VCC",D9:AH9)</f>
        <v>0</v>
      </c>
      <c r="CM9" s="83">
        <f t="shared" ref="CM9:CM40" si="9">AP9*CL9</f>
        <v>0</v>
      </c>
      <c r="CN9" s="111">
        <f t="shared" ref="CN9:CN40" si="10">SUMIF(D11:AH11,"VB3",D9:AH9)</f>
        <v>0</v>
      </c>
      <c r="CO9" s="111">
        <f t="shared" ref="CO9:CO40" si="11">AP9*CN9</f>
        <v>0</v>
      </c>
      <c r="CP9" s="111">
        <f t="shared" ref="CP9:CP40" si="12">SUMIF(D11:AH11,"VB14",D9:AH9)</f>
        <v>0</v>
      </c>
      <c r="CQ9" s="111">
        <f t="shared" ref="CQ9:CQ40" si="13">AP9*CP9</f>
        <v>0</v>
      </c>
      <c r="CS9" s="83">
        <f>SUM(AS:AS)</f>
        <v>0</v>
      </c>
      <c r="CT9" s="83">
        <f>SUM(AU:AU)</f>
        <v>0</v>
      </c>
      <c r="CU9" s="83">
        <f>SUM(AW:AW)</f>
        <v>0</v>
      </c>
      <c r="CV9" s="111">
        <f>SUM(AY:AY)</f>
        <v>0</v>
      </c>
      <c r="CW9" s="111">
        <f>SUM(BA:BA)</f>
        <v>0</v>
      </c>
      <c r="CX9" s="111">
        <f>SUM(BC:BC)</f>
        <v>0</v>
      </c>
      <c r="CY9" s="111">
        <f>SUM(BE:BE)</f>
        <v>0</v>
      </c>
    </row>
    <row r="10" spans="1:103" ht="20" thickBot="1" x14ac:dyDescent="0.3">
      <c r="A10" s="142"/>
      <c r="B10" s="139"/>
      <c r="C10" s="3" t="s">
        <v>12</v>
      </c>
      <c r="D10" s="137"/>
      <c r="E10" s="137"/>
      <c r="F10" s="131"/>
      <c r="G10" s="133"/>
      <c r="H10" s="135"/>
      <c r="I10" s="135"/>
      <c r="J10" s="131"/>
      <c r="K10" s="131"/>
      <c r="L10" s="131"/>
      <c r="M10" s="131"/>
      <c r="N10" s="133"/>
      <c r="O10" s="135"/>
      <c r="P10" s="135"/>
      <c r="Q10" s="131"/>
      <c r="R10" s="131"/>
      <c r="S10" s="131"/>
      <c r="T10" s="148"/>
      <c r="U10" s="133"/>
      <c r="V10" s="135"/>
      <c r="W10" s="135"/>
      <c r="X10" s="131"/>
      <c r="Y10" s="131"/>
      <c r="Z10" s="133"/>
      <c r="AA10" s="133"/>
      <c r="AB10" s="131"/>
      <c r="AC10" s="135"/>
      <c r="AD10" s="135"/>
      <c r="AE10" s="135"/>
      <c r="AF10" s="135"/>
      <c r="AG10" s="131"/>
      <c r="AH10" s="152"/>
      <c r="AI10" s="160"/>
      <c r="AJ10" s="11"/>
      <c r="AK10" s="11"/>
      <c r="AL10" s="11"/>
      <c r="AM10" s="11"/>
      <c r="AN10" s="52"/>
      <c r="AO10" s="24"/>
      <c r="AP10" s="69"/>
      <c r="AQ10" s="127"/>
      <c r="AR10" s="40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CD10" s="83">
        <f t="shared" si="0"/>
        <v>0</v>
      </c>
      <c r="CE10" s="66">
        <f t="shared" si="1"/>
        <v>0</v>
      </c>
      <c r="CF10" s="83">
        <f t="shared" si="2"/>
        <v>0</v>
      </c>
      <c r="CG10" s="65">
        <f t="shared" si="3"/>
        <v>0</v>
      </c>
      <c r="CH10" s="83">
        <f t="shared" si="4"/>
        <v>0</v>
      </c>
      <c r="CI10" s="65">
        <f t="shared" si="5"/>
        <v>0</v>
      </c>
      <c r="CJ10" s="83">
        <f t="shared" si="6"/>
        <v>0</v>
      </c>
      <c r="CK10" s="65">
        <f t="shared" si="7"/>
        <v>0</v>
      </c>
      <c r="CL10" s="83">
        <f t="shared" si="8"/>
        <v>0</v>
      </c>
      <c r="CM10" s="83">
        <f t="shared" si="9"/>
        <v>0</v>
      </c>
      <c r="CN10" s="111">
        <f t="shared" si="10"/>
        <v>0</v>
      </c>
      <c r="CO10" s="111">
        <f t="shared" si="11"/>
        <v>0</v>
      </c>
      <c r="CP10" s="111">
        <f t="shared" si="12"/>
        <v>0</v>
      </c>
      <c r="CQ10" s="111">
        <f t="shared" si="13"/>
        <v>0</v>
      </c>
      <c r="CS10" s="83">
        <f t="shared" ref="CS10:CS41" ca="1" si="14">SUMIF(K12:AO12, "T", K10:AO10) + SUMIF(K12:AO12, "T", K11:AO11)</f>
        <v>0</v>
      </c>
      <c r="CT10" s="83">
        <f t="shared" ref="CT10:CT41" ca="1" si="15">SUMIF(L12:AP12, "T", L10:AP10) + SUMIF(L12:AP12, "T", L11:AP11)</f>
        <v>0</v>
      </c>
      <c r="CU10" s="83">
        <f t="shared" ref="CU10:CU41" ca="1" si="16">SUMIF(M12:AQ12, "T", M10:AQ10) + SUMIF(M12:AQ12, "T", M11:AQ11)</f>
        <v>0</v>
      </c>
      <c r="CV10" s="111">
        <v>0</v>
      </c>
      <c r="CW10" s="111">
        <v>0</v>
      </c>
      <c r="CX10" s="111">
        <v>0</v>
      </c>
      <c r="CY10" s="111">
        <v>0</v>
      </c>
    </row>
    <row r="11" spans="1:103" ht="20" thickBot="1" x14ac:dyDescent="0.3">
      <c r="A11" s="143"/>
      <c r="B11" s="140"/>
      <c r="C11" s="92" t="s">
        <v>4</v>
      </c>
      <c r="D11" s="88"/>
      <c r="E11" s="88"/>
      <c r="F11" s="88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90"/>
      <c r="AI11" s="36"/>
      <c r="AJ11" s="34"/>
      <c r="AK11" s="34"/>
      <c r="AL11" s="34"/>
      <c r="AM11" s="34"/>
      <c r="AN11" s="53"/>
      <c r="AO11" s="25"/>
      <c r="AP11" s="70"/>
      <c r="AQ11" s="127"/>
      <c r="AR11" s="40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CD11" s="83">
        <f t="shared" si="0"/>
        <v>0</v>
      </c>
      <c r="CE11" s="66">
        <f t="shared" si="1"/>
        <v>0</v>
      </c>
      <c r="CF11" s="83">
        <f t="shared" si="2"/>
        <v>0</v>
      </c>
      <c r="CG11" s="65">
        <f t="shared" si="3"/>
        <v>0</v>
      </c>
      <c r="CH11" s="83">
        <f t="shared" si="4"/>
        <v>0</v>
      </c>
      <c r="CI11" s="65">
        <f t="shared" si="5"/>
        <v>0</v>
      </c>
      <c r="CJ11" s="83">
        <f t="shared" si="6"/>
        <v>0</v>
      </c>
      <c r="CK11" s="65">
        <f t="shared" si="7"/>
        <v>0</v>
      </c>
      <c r="CL11" s="83">
        <f t="shared" si="8"/>
        <v>0</v>
      </c>
      <c r="CM11" s="83">
        <f t="shared" si="9"/>
        <v>0</v>
      </c>
      <c r="CN11" s="111">
        <f t="shared" si="10"/>
        <v>0</v>
      </c>
      <c r="CO11" s="111">
        <f t="shared" si="11"/>
        <v>0</v>
      </c>
      <c r="CP11" s="111">
        <f t="shared" si="12"/>
        <v>0</v>
      </c>
      <c r="CQ11" s="111">
        <f t="shared" si="13"/>
        <v>0</v>
      </c>
      <c r="CS11" s="83">
        <f t="shared" si="14"/>
        <v>0</v>
      </c>
      <c r="CT11" s="83">
        <f t="shared" si="15"/>
        <v>0</v>
      </c>
      <c r="CU11" s="83">
        <f t="shared" si="16"/>
        <v>0</v>
      </c>
      <c r="CV11" s="111">
        <v>0</v>
      </c>
      <c r="CW11" s="111">
        <v>0</v>
      </c>
      <c r="CX11" s="111">
        <v>0</v>
      </c>
      <c r="CY11" s="111">
        <v>0</v>
      </c>
    </row>
    <row r="12" spans="1:103" ht="21" thickTop="1" thickBot="1" x14ac:dyDescent="0.3">
      <c r="A12" s="141">
        <v>2</v>
      </c>
      <c r="B12" s="138"/>
      <c r="C12" s="91" t="s">
        <v>11</v>
      </c>
      <c r="D12" s="136"/>
      <c r="E12" s="136"/>
      <c r="F12" s="130"/>
      <c r="G12" s="132"/>
      <c r="H12" s="134"/>
      <c r="I12" s="134"/>
      <c r="J12" s="130"/>
      <c r="K12" s="130"/>
      <c r="L12" s="130"/>
      <c r="M12" s="130"/>
      <c r="N12" s="132"/>
      <c r="O12" s="134"/>
      <c r="P12" s="134"/>
      <c r="Q12" s="130"/>
      <c r="R12" s="130"/>
      <c r="S12" s="130"/>
      <c r="T12" s="147"/>
      <c r="U12" s="132"/>
      <c r="V12" s="134"/>
      <c r="W12" s="134"/>
      <c r="X12" s="130"/>
      <c r="Y12" s="130"/>
      <c r="Z12" s="132"/>
      <c r="AA12" s="132"/>
      <c r="AB12" s="130"/>
      <c r="AC12" s="134"/>
      <c r="AD12" s="134"/>
      <c r="AE12" s="134"/>
      <c r="AF12" s="134"/>
      <c r="AG12" s="130"/>
      <c r="AH12" s="151"/>
      <c r="AI12" s="159">
        <f>SUM(D12:AH12)</f>
        <v>0</v>
      </c>
      <c r="AJ12" s="87">
        <f>SUMIF(D14:AH14, "LL", D12:AH12) + SUMIF(D14:AH14, "LL", D13:AH13)</f>
        <v>0</v>
      </c>
      <c r="AK12" s="39"/>
      <c r="AL12" s="39"/>
      <c r="AM12" s="100">
        <f>SUMIF(D14:AH14, "CO", D12:AH12) + SUMIF(D14:AH14, "CO", D13:AH13)</f>
        <v>0</v>
      </c>
      <c r="AN12" s="54">
        <f ca="1">SUM(AI12:CA12)</f>
        <v>0</v>
      </c>
      <c r="AO12" s="104"/>
      <c r="AP12" s="71"/>
      <c r="AQ12" s="127"/>
      <c r="AR12" s="40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CD12" s="83">
        <f t="shared" si="0"/>
        <v>0</v>
      </c>
      <c r="CE12" s="66">
        <f t="shared" si="1"/>
        <v>0</v>
      </c>
      <c r="CF12" s="83">
        <f t="shared" si="2"/>
        <v>0</v>
      </c>
      <c r="CG12" s="65">
        <f t="shared" si="3"/>
        <v>0</v>
      </c>
      <c r="CH12" s="83">
        <f t="shared" si="4"/>
        <v>0</v>
      </c>
      <c r="CI12" s="65">
        <f t="shared" si="5"/>
        <v>0</v>
      </c>
      <c r="CJ12" s="83">
        <f t="shared" si="6"/>
        <v>0</v>
      </c>
      <c r="CK12" s="65">
        <f t="shared" si="7"/>
        <v>0</v>
      </c>
      <c r="CL12" s="83">
        <f t="shared" si="8"/>
        <v>0</v>
      </c>
      <c r="CM12" s="83">
        <f t="shared" si="9"/>
        <v>0</v>
      </c>
      <c r="CN12" s="111">
        <f t="shared" si="10"/>
        <v>0</v>
      </c>
      <c r="CO12" s="111">
        <f t="shared" si="11"/>
        <v>0</v>
      </c>
      <c r="CP12" s="111">
        <f t="shared" si="12"/>
        <v>0</v>
      </c>
      <c r="CQ12" s="111">
        <f t="shared" si="13"/>
        <v>0</v>
      </c>
      <c r="CS12" s="83">
        <f t="shared" si="14"/>
        <v>0</v>
      </c>
      <c r="CT12" s="83">
        <f t="shared" si="15"/>
        <v>0</v>
      </c>
      <c r="CU12" s="83">
        <f t="shared" si="16"/>
        <v>0</v>
      </c>
      <c r="CV12" s="111">
        <v>0</v>
      </c>
      <c r="CW12" s="111">
        <v>0</v>
      </c>
      <c r="CX12" s="111">
        <v>0</v>
      </c>
      <c r="CY12" s="111">
        <v>0</v>
      </c>
    </row>
    <row r="13" spans="1:103" ht="20" thickBot="1" x14ac:dyDescent="0.3">
      <c r="A13" s="142"/>
      <c r="B13" s="139"/>
      <c r="C13" s="3" t="s">
        <v>12</v>
      </c>
      <c r="D13" s="137"/>
      <c r="E13" s="137"/>
      <c r="F13" s="131"/>
      <c r="G13" s="133"/>
      <c r="H13" s="135"/>
      <c r="I13" s="135"/>
      <c r="J13" s="131"/>
      <c r="K13" s="131"/>
      <c r="L13" s="131"/>
      <c r="M13" s="131"/>
      <c r="N13" s="133"/>
      <c r="O13" s="135"/>
      <c r="P13" s="135"/>
      <c r="Q13" s="131"/>
      <c r="R13" s="131"/>
      <c r="S13" s="131"/>
      <c r="T13" s="148"/>
      <c r="U13" s="133"/>
      <c r="V13" s="135"/>
      <c r="W13" s="135"/>
      <c r="X13" s="131"/>
      <c r="Y13" s="131"/>
      <c r="Z13" s="133"/>
      <c r="AA13" s="133"/>
      <c r="AB13" s="131"/>
      <c r="AC13" s="135"/>
      <c r="AD13" s="135"/>
      <c r="AE13" s="135"/>
      <c r="AF13" s="135"/>
      <c r="AG13" s="131"/>
      <c r="AH13" s="152"/>
      <c r="AI13" s="160"/>
      <c r="AJ13" s="11"/>
      <c r="AK13" s="11"/>
      <c r="AL13" s="11"/>
      <c r="AM13" s="11"/>
      <c r="AN13" s="52"/>
      <c r="AO13" s="24"/>
      <c r="AP13" s="69"/>
      <c r="AQ13" s="127"/>
      <c r="AR13" s="43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CD13" s="83">
        <f t="shared" si="0"/>
        <v>0</v>
      </c>
      <c r="CE13" s="66">
        <f t="shared" si="1"/>
        <v>0</v>
      </c>
      <c r="CF13" s="83">
        <f t="shared" si="2"/>
        <v>0</v>
      </c>
      <c r="CG13" s="65">
        <f t="shared" si="3"/>
        <v>0</v>
      </c>
      <c r="CH13" s="83">
        <f t="shared" si="4"/>
        <v>0</v>
      </c>
      <c r="CI13" s="65">
        <f t="shared" si="5"/>
        <v>0</v>
      </c>
      <c r="CJ13" s="83">
        <f t="shared" si="6"/>
        <v>0</v>
      </c>
      <c r="CK13" s="65">
        <f t="shared" si="7"/>
        <v>0</v>
      </c>
      <c r="CL13" s="83">
        <f t="shared" si="8"/>
        <v>0</v>
      </c>
      <c r="CM13" s="83">
        <f t="shared" si="9"/>
        <v>0</v>
      </c>
      <c r="CN13" s="111">
        <f t="shared" si="10"/>
        <v>0</v>
      </c>
      <c r="CO13" s="111">
        <f t="shared" si="11"/>
        <v>0</v>
      </c>
      <c r="CP13" s="111">
        <f t="shared" si="12"/>
        <v>0</v>
      </c>
      <c r="CQ13" s="111">
        <f t="shared" si="13"/>
        <v>0</v>
      </c>
      <c r="CS13" s="83">
        <f t="shared" ca="1" si="14"/>
        <v>0</v>
      </c>
      <c r="CT13" s="83">
        <f t="shared" ca="1" si="15"/>
        <v>0</v>
      </c>
      <c r="CU13" s="83">
        <f t="shared" ca="1" si="16"/>
        <v>0</v>
      </c>
      <c r="CV13" s="111">
        <v>0</v>
      </c>
      <c r="CW13" s="111">
        <v>0</v>
      </c>
      <c r="CX13" s="111">
        <v>0</v>
      </c>
      <c r="CY13" s="111">
        <v>0</v>
      </c>
    </row>
    <row r="14" spans="1:103" ht="20" thickBot="1" x14ac:dyDescent="0.3">
      <c r="A14" s="143"/>
      <c r="B14" s="140"/>
      <c r="C14" s="92" t="s">
        <v>4</v>
      </c>
      <c r="D14" s="88"/>
      <c r="E14" s="88"/>
      <c r="F14" s="88"/>
      <c r="G14" s="89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90"/>
      <c r="AI14" s="36"/>
      <c r="AJ14" s="34"/>
      <c r="AK14" s="34"/>
      <c r="AL14" s="34"/>
      <c r="AM14" s="34"/>
      <c r="AN14" s="53"/>
      <c r="AO14" s="25"/>
      <c r="AP14" s="70"/>
      <c r="AQ14" s="127"/>
      <c r="AR14" s="43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CD14" s="83">
        <f t="shared" si="0"/>
        <v>0</v>
      </c>
      <c r="CE14" s="66">
        <f t="shared" si="1"/>
        <v>0</v>
      </c>
      <c r="CF14" s="83">
        <f t="shared" si="2"/>
        <v>0</v>
      </c>
      <c r="CG14" s="65">
        <f t="shared" si="3"/>
        <v>0</v>
      </c>
      <c r="CH14" s="83">
        <f t="shared" si="4"/>
        <v>0</v>
      </c>
      <c r="CI14" s="65">
        <f t="shared" si="5"/>
        <v>0</v>
      </c>
      <c r="CJ14" s="83">
        <f t="shared" si="6"/>
        <v>0</v>
      </c>
      <c r="CK14" s="65">
        <f t="shared" si="7"/>
        <v>0</v>
      </c>
      <c r="CL14" s="83">
        <f t="shared" si="8"/>
        <v>0</v>
      </c>
      <c r="CM14" s="83">
        <f t="shared" si="9"/>
        <v>0</v>
      </c>
      <c r="CN14" s="111">
        <f t="shared" si="10"/>
        <v>0</v>
      </c>
      <c r="CO14" s="111">
        <f t="shared" si="11"/>
        <v>0</v>
      </c>
      <c r="CP14" s="111">
        <f t="shared" si="12"/>
        <v>0</v>
      </c>
      <c r="CQ14" s="111">
        <f t="shared" si="13"/>
        <v>0</v>
      </c>
      <c r="CS14" s="83">
        <f t="shared" si="14"/>
        <v>0</v>
      </c>
      <c r="CT14" s="83">
        <f t="shared" si="15"/>
        <v>0</v>
      </c>
      <c r="CU14" s="83">
        <f t="shared" si="16"/>
        <v>0</v>
      </c>
      <c r="CV14" s="111">
        <v>0</v>
      </c>
      <c r="CW14" s="111">
        <v>0</v>
      </c>
      <c r="CX14" s="111">
        <v>0</v>
      </c>
      <c r="CY14" s="111">
        <v>0</v>
      </c>
    </row>
    <row r="15" spans="1:103" ht="21" customHeight="1" thickTop="1" thickBot="1" x14ac:dyDescent="0.3">
      <c r="A15" s="156">
        <v>3</v>
      </c>
      <c r="B15" s="138"/>
      <c r="C15" s="91" t="s">
        <v>11</v>
      </c>
      <c r="D15" s="136"/>
      <c r="E15" s="136"/>
      <c r="F15" s="130"/>
      <c r="G15" s="132"/>
      <c r="H15" s="134"/>
      <c r="I15" s="134"/>
      <c r="J15" s="130"/>
      <c r="K15" s="130"/>
      <c r="L15" s="130"/>
      <c r="M15" s="130"/>
      <c r="N15" s="132"/>
      <c r="O15" s="134"/>
      <c r="P15" s="134"/>
      <c r="Q15" s="130"/>
      <c r="R15" s="130"/>
      <c r="S15" s="130"/>
      <c r="T15" s="147"/>
      <c r="U15" s="132"/>
      <c r="V15" s="134"/>
      <c r="W15" s="134"/>
      <c r="X15" s="130"/>
      <c r="Y15" s="130"/>
      <c r="Z15" s="132"/>
      <c r="AA15" s="132"/>
      <c r="AB15" s="130"/>
      <c r="AC15" s="134"/>
      <c r="AD15" s="134"/>
      <c r="AE15" s="134"/>
      <c r="AF15" s="134"/>
      <c r="AG15" s="130"/>
      <c r="AH15" s="151"/>
      <c r="AI15" s="159">
        <f t="shared" ref="AI15" si="17">SUM(D15:AH15)</f>
        <v>0</v>
      </c>
      <c r="AJ15" s="86">
        <f>SUMIF(D17:AH17, "LL", D15:AH15) + SUMIF(D17:AH17, "LL", D16:AH16)</f>
        <v>0</v>
      </c>
      <c r="AK15" s="32"/>
      <c r="AL15" s="8"/>
      <c r="AM15" s="99">
        <f>SUMIF(D17:AH17, "CO", D15:AH15) + SUMIF(D17:AH17, "CO", D16:AH16)</f>
        <v>0</v>
      </c>
      <c r="AN15" s="55">
        <f ca="1">SUM(AI15:CA15)</f>
        <v>0</v>
      </c>
      <c r="AO15" s="8"/>
      <c r="AP15" s="72"/>
      <c r="AQ15" s="127"/>
      <c r="AR15" s="4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CD15" s="83">
        <f t="shared" si="0"/>
        <v>0</v>
      </c>
      <c r="CE15" s="66">
        <f t="shared" si="1"/>
        <v>0</v>
      </c>
      <c r="CF15" s="83">
        <f t="shared" si="2"/>
        <v>0</v>
      </c>
      <c r="CG15" s="65">
        <f t="shared" si="3"/>
        <v>0</v>
      </c>
      <c r="CH15" s="83">
        <f t="shared" si="4"/>
        <v>0</v>
      </c>
      <c r="CI15" s="65">
        <f t="shared" si="5"/>
        <v>0</v>
      </c>
      <c r="CJ15" s="83">
        <f t="shared" si="6"/>
        <v>0</v>
      </c>
      <c r="CK15" s="65">
        <f t="shared" si="7"/>
        <v>0</v>
      </c>
      <c r="CL15" s="83">
        <f t="shared" si="8"/>
        <v>0</v>
      </c>
      <c r="CM15" s="83">
        <f t="shared" si="9"/>
        <v>0</v>
      </c>
      <c r="CN15" s="111">
        <f t="shared" si="10"/>
        <v>0</v>
      </c>
      <c r="CO15" s="111">
        <f t="shared" si="11"/>
        <v>0</v>
      </c>
      <c r="CP15" s="111">
        <f t="shared" si="12"/>
        <v>0</v>
      </c>
      <c r="CQ15" s="111">
        <f t="shared" si="13"/>
        <v>0</v>
      </c>
      <c r="CS15" s="83">
        <f t="shared" si="14"/>
        <v>0</v>
      </c>
      <c r="CT15" s="83">
        <f t="shared" si="15"/>
        <v>0</v>
      </c>
      <c r="CU15" s="83">
        <f t="shared" si="16"/>
        <v>0</v>
      </c>
      <c r="CV15" s="111">
        <v>0</v>
      </c>
      <c r="CW15" s="111">
        <v>0</v>
      </c>
      <c r="CX15" s="111">
        <v>0</v>
      </c>
      <c r="CY15" s="111">
        <v>0</v>
      </c>
    </row>
    <row r="16" spans="1:103" ht="20" thickBot="1" x14ac:dyDescent="0.3">
      <c r="A16" s="157"/>
      <c r="B16" s="139"/>
      <c r="C16" s="3" t="s">
        <v>12</v>
      </c>
      <c r="D16" s="137"/>
      <c r="E16" s="137"/>
      <c r="F16" s="131"/>
      <c r="G16" s="133"/>
      <c r="H16" s="135"/>
      <c r="I16" s="135"/>
      <c r="J16" s="131"/>
      <c r="K16" s="131"/>
      <c r="L16" s="131"/>
      <c r="M16" s="131"/>
      <c r="N16" s="133"/>
      <c r="O16" s="135"/>
      <c r="P16" s="135"/>
      <c r="Q16" s="131"/>
      <c r="R16" s="131"/>
      <c r="S16" s="131"/>
      <c r="T16" s="148"/>
      <c r="U16" s="133"/>
      <c r="V16" s="135"/>
      <c r="W16" s="135"/>
      <c r="X16" s="131"/>
      <c r="Y16" s="131"/>
      <c r="Z16" s="133"/>
      <c r="AA16" s="133"/>
      <c r="AB16" s="131"/>
      <c r="AC16" s="135"/>
      <c r="AD16" s="135"/>
      <c r="AE16" s="135"/>
      <c r="AF16" s="135"/>
      <c r="AG16" s="131"/>
      <c r="AH16" s="152"/>
      <c r="AI16" s="160"/>
      <c r="AJ16" s="11"/>
      <c r="AK16" s="21"/>
      <c r="AL16" s="7"/>
      <c r="AM16" s="11"/>
      <c r="AN16" s="56"/>
      <c r="AO16" s="5"/>
      <c r="AP16" s="73"/>
      <c r="AQ16" s="127"/>
      <c r="AR16" s="5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CD16" s="83">
        <f t="shared" si="0"/>
        <v>0</v>
      </c>
      <c r="CE16" s="66">
        <f t="shared" si="1"/>
        <v>0</v>
      </c>
      <c r="CF16" s="83">
        <f t="shared" si="2"/>
        <v>0</v>
      </c>
      <c r="CG16" s="65">
        <f t="shared" si="3"/>
        <v>0</v>
      </c>
      <c r="CH16" s="83">
        <f t="shared" si="4"/>
        <v>0</v>
      </c>
      <c r="CI16" s="65">
        <f t="shared" si="5"/>
        <v>0</v>
      </c>
      <c r="CJ16" s="83">
        <f t="shared" si="6"/>
        <v>0</v>
      </c>
      <c r="CK16" s="65">
        <f t="shared" si="7"/>
        <v>0</v>
      </c>
      <c r="CL16" s="83">
        <f t="shared" si="8"/>
        <v>0</v>
      </c>
      <c r="CM16" s="83">
        <f t="shared" si="9"/>
        <v>0</v>
      </c>
      <c r="CN16" s="111">
        <f t="shared" si="10"/>
        <v>0</v>
      </c>
      <c r="CO16" s="111">
        <f t="shared" si="11"/>
        <v>0</v>
      </c>
      <c r="CP16" s="111">
        <f t="shared" si="12"/>
        <v>0</v>
      </c>
      <c r="CQ16" s="111">
        <f t="shared" si="13"/>
        <v>0</v>
      </c>
      <c r="CS16" s="83">
        <f t="shared" ca="1" si="14"/>
        <v>0</v>
      </c>
      <c r="CT16" s="83">
        <f t="shared" ca="1" si="15"/>
        <v>0</v>
      </c>
      <c r="CU16" s="83">
        <f t="shared" ca="1" si="16"/>
        <v>0</v>
      </c>
      <c r="CV16" s="111">
        <v>0</v>
      </c>
      <c r="CW16" s="111">
        <v>0</v>
      </c>
      <c r="CX16" s="111">
        <v>0</v>
      </c>
      <c r="CY16" s="111">
        <v>0</v>
      </c>
    </row>
    <row r="17" spans="1:103" ht="20" thickBot="1" x14ac:dyDescent="0.3">
      <c r="A17" s="158"/>
      <c r="B17" s="140"/>
      <c r="C17" s="92" t="s">
        <v>4</v>
      </c>
      <c r="D17" s="88"/>
      <c r="E17" s="88"/>
      <c r="F17" s="88"/>
      <c r="G17" s="89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90"/>
      <c r="AI17" s="36"/>
      <c r="AJ17" s="34"/>
      <c r="AK17" s="33"/>
      <c r="AL17" s="28"/>
      <c r="AM17" s="34"/>
      <c r="AN17" s="57"/>
      <c r="AO17" s="30"/>
      <c r="AP17" s="74"/>
      <c r="AQ17" s="127"/>
      <c r="AR17" s="5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CD17" s="83">
        <f t="shared" si="0"/>
        <v>0</v>
      </c>
      <c r="CE17" s="66">
        <f t="shared" si="1"/>
        <v>0</v>
      </c>
      <c r="CF17" s="83">
        <f t="shared" si="2"/>
        <v>0</v>
      </c>
      <c r="CG17" s="65">
        <f t="shared" si="3"/>
        <v>0</v>
      </c>
      <c r="CH17" s="83">
        <f t="shared" si="4"/>
        <v>0</v>
      </c>
      <c r="CI17" s="65">
        <f t="shared" si="5"/>
        <v>0</v>
      </c>
      <c r="CJ17" s="83">
        <f t="shared" si="6"/>
        <v>0</v>
      </c>
      <c r="CK17" s="65">
        <f t="shared" si="7"/>
        <v>0</v>
      </c>
      <c r="CL17" s="83">
        <f t="shared" si="8"/>
        <v>0</v>
      </c>
      <c r="CM17" s="83">
        <f t="shared" si="9"/>
        <v>0</v>
      </c>
      <c r="CN17" s="111">
        <f t="shared" si="10"/>
        <v>0</v>
      </c>
      <c r="CO17" s="111">
        <f t="shared" si="11"/>
        <v>0</v>
      </c>
      <c r="CP17" s="111">
        <f t="shared" si="12"/>
        <v>0</v>
      </c>
      <c r="CQ17" s="111">
        <f t="shared" si="13"/>
        <v>0</v>
      </c>
      <c r="CS17" s="83">
        <f t="shared" si="14"/>
        <v>0</v>
      </c>
      <c r="CT17" s="83">
        <f t="shared" si="15"/>
        <v>0</v>
      </c>
      <c r="CU17" s="83">
        <f t="shared" si="16"/>
        <v>0</v>
      </c>
      <c r="CV17" s="111">
        <v>0</v>
      </c>
      <c r="CW17" s="111">
        <v>0</v>
      </c>
      <c r="CX17" s="111">
        <v>0</v>
      </c>
      <c r="CY17" s="111">
        <v>0</v>
      </c>
    </row>
    <row r="18" spans="1:103" ht="21" customHeight="1" thickTop="1" thickBot="1" x14ac:dyDescent="0.3">
      <c r="A18" s="153">
        <v>4</v>
      </c>
      <c r="B18" s="138"/>
      <c r="C18" s="91" t="s">
        <v>11</v>
      </c>
      <c r="D18" s="136"/>
      <c r="E18" s="136"/>
      <c r="F18" s="130"/>
      <c r="G18" s="132"/>
      <c r="H18" s="134"/>
      <c r="I18" s="134"/>
      <c r="J18" s="130"/>
      <c r="K18" s="130"/>
      <c r="L18" s="130"/>
      <c r="M18" s="130"/>
      <c r="N18" s="132"/>
      <c r="O18" s="134"/>
      <c r="P18" s="134"/>
      <c r="Q18" s="130"/>
      <c r="R18" s="130"/>
      <c r="S18" s="130"/>
      <c r="T18" s="147"/>
      <c r="U18" s="132"/>
      <c r="V18" s="134"/>
      <c r="W18" s="134"/>
      <c r="X18" s="130"/>
      <c r="Y18" s="130"/>
      <c r="Z18" s="132"/>
      <c r="AA18" s="132"/>
      <c r="AB18" s="130"/>
      <c r="AC18" s="134"/>
      <c r="AD18" s="134"/>
      <c r="AE18" s="134"/>
      <c r="AF18" s="134"/>
      <c r="AG18" s="130"/>
      <c r="AH18" s="151"/>
      <c r="AI18" s="159">
        <f t="shared" ref="AI18" si="18">SUM(D18:AH18)</f>
        <v>0</v>
      </c>
      <c r="AJ18" s="87">
        <f>SUMIF(D20:AH20, "LL", D18:AH18) + SUMIF(D20:AH20, "LL", D19:AH19)</f>
        <v>0</v>
      </c>
      <c r="AK18" s="12"/>
      <c r="AL18" s="18"/>
      <c r="AM18" s="100">
        <f>SUMIF(D20:AH20, "CO", D18:AH18) + SUMIF(D20:AH20, "CO", D19:AH19)</f>
        <v>0</v>
      </c>
      <c r="AN18" s="58">
        <f ca="1">SUM(AI18:CA18)</f>
        <v>0</v>
      </c>
      <c r="AO18" s="17"/>
      <c r="AP18" s="75"/>
      <c r="AQ18" s="127"/>
      <c r="AR18" s="45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CD18" s="83">
        <f t="shared" si="0"/>
        <v>0</v>
      </c>
      <c r="CE18" s="66">
        <f t="shared" si="1"/>
        <v>0</v>
      </c>
      <c r="CF18" s="83">
        <f t="shared" si="2"/>
        <v>0</v>
      </c>
      <c r="CG18" s="65">
        <f t="shared" si="3"/>
        <v>0</v>
      </c>
      <c r="CH18" s="83">
        <f t="shared" si="4"/>
        <v>0</v>
      </c>
      <c r="CI18" s="65">
        <f t="shared" si="5"/>
        <v>0</v>
      </c>
      <c r="CJ18" s="83">
        <f t="shared" si="6"/>
        <v>0</v>
      </c>
      <c r="CK18" s="65">
        <f t="shared" si="7"/>
        <v>0</v>
      </c>
      <c r="CL18" s="83">
        <f t="shared" si="8"/>
        <v>0</v>
      </c>
      <c r="CM18" s="83">
        <f t="shared" si="9"/>
        <v>0</v>
      </c>
      <c r="CN18" s="111">
        <f t="shared" si="10"/>
        <v>0</v>
      </c>
      <c r="CO18" s="111">
        <f t="shared" si="11"/>
        <v>0</v>
      </c>
      <c r="CP18" s="111">
        <f t="shared" si="12"/>
        <v>0</v>
      </c>
      <c r="CQ18" s="111">
        <f t="shared" si="13"/>
        <v>0</v>
      </c>
      <c r="CS18" s="83">
        <f t="shared" si="14"/>
        <v>0</v>
      </c>
      <c r="CT18" s="83">
        <f t="shared" si="15"/>
        <v>0</v>
      </c>
      <c r="CU18" s="83">
        <f t="shared" si="16"/>
        <v>0</v>
      </c>
      <c r="CV18" s="111">
        <v>0</v>
      </c>
      <c r="CW18" s="111">
        <v>0</v>
      </c>
      <c r="CX18" s="111">
        <v>0</v>
      </c>
      <c r="CY18" s="111">
        <v>0</v>
      </c>
    </row>
    <row r="19" spans="1:103" ht="20" thickBot="1" x14ac:dyDescent="0.3">
      <c r="A19" s="154"/>
      <c r="B19" s="139"/>
      <c r="C19" s="3" t="s">
        <v>12</v>
      </c>
      <c r="D19" s="137"/>
      <c r="E19" s="137"/>
      <c r="F19" s="131"/>
      <c r="G19" s="133"/>
      <c r="H19" s="135"/>
      <c r="I19" s="135"/>
      <c r="J19" s="131"/>
      <c r="K19" s="131"/>
      <c r="L19" s="131"/>
      <c r="M19" s="131"/>
      <c r="N19" s="133"/>
      <c r="O19" s="135"/>
      <c r="P19" s="135"/>
      <c r="Q19" s="131"/>
      <c r="R19" s="131"/>
      <c r="S19" s="131"/>
      <c r="T19" s="148"/>
      <c r="U19" s="133"/>
      <c r="V19" s="135"/>
      <c r="W19" s="135"/>
      <c r="X19" s="131"/>
      <c r="Y19" s="131"/>
      <c r="Z19" s="133"/>
      <c r="AA19" s="133"/>
      <c r="AB19" s="131"/>
      <c r="AC19" s="135"/>
      <c r="AD19" s="135"/>
      <c r="AE19" s="135"/>
      <c r="AF19" s="135"/>
      <c r="AG19" s="131"/>
      <c r="AH19" s="152"/>
      <c r="AI19" s="160"/>
      <c r="AJ19" s="11"/>
      <c r="AK19" s="10"/>
      <c r="AL19" s="7"/>
      <c r="AM19" s="11"/>
      <c r="AN19" s="59"/>
      <c r="AO19" s="5"/>
      <c r="AP19" s="73"/>
      <c r="AQ19" s="127"/>
      <c r="AR19" s="5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CD19" s="83">
        <f t="shared" si="0"/>
        <v>0</v>
      </c>
      <c r="CE19" s="66">
        <f t="shared" si="1"/>
        <v>0</v>
      </c>
      <c r="CF19" s="83">
        <f t="shared" si="2"/>
        <v>0</v>
      </c>
      <c r="CG19" s="65">
        <f t="shared" si="3"/>
        <v>0</v>
      </c>
      <c r="CH19" s="83">
        <f t="shared" si="4"/>
        <v>0</v>
      </c>
      <c r="CI19" s="65">
        <f t="shared" si="5"/>
        <v>0</v>
      </c>
      <c r="CJ19" s="83">
        <f t="shared" si="6"/>
        <v>0</v>
      </c>
      <c r="CK19" s="65">
        <f t="shared" si="7"/>
        <v>0</v>
      </c>
      <c r="CL19" s="83">
        <f t="shared" si="8"/>
        <v>0</v>
      </c>
      <c r="CM19" s="83">
        <f t="shared" si="9"/>
        <v>0</v>
      </c>
      <c r="CN19" s="111">
        <f t="shared" si="10"/>
        <v>0</v>
      </c>
      <c r="CO19" s="111">
        <f t="shared" si="11"/>
        <v>0</v>
      </c>
      <c r="CP19" s="111">
        <f t="shared" si="12"/>
        <v>0</v>
      </c>
      <c r="CQ19" s="111">
        <f t="shared" si="13"/>
        <v>0</v>
      </c>
      <c r="CS19" s="83">
        <f t="shared" ca="1" si="14"/>
        <v>0</v>
      </c>
      <c r="CT19" s="83">
        <f t="shared" ca="1" si="15"/>
        <v>0</v>
      </c>
      <c r="CU19" s="83">
        <f t="shared" ca="1" si="16"/>
        <v>0</v>
      </c>
      <c r="CV19" s="111">
        <v>0</v>
      </c>
      <c r="CW19" s="111">
        <v>0</v>
      </c>
      <c r="CX19" s="111">
        <v>0</v>
      </c>
      <c r="CY19" s="111">
        <v>0</v>
      </c>
    </row>
    <row r="20" spans="1:103" ht="20" thickBot="1" x14ac:dyDescent="0.3">
      <c r="A20" s="155"/>
      <c r="B20" s="140"/>
      <c r="C20" s="92" t="s">
        <v>4</v>
      </c>
      <c r="D20" s="88"/>
      <c r="E20" s="88"/>
      <c r="F20" s="88"/>
      <c r="G20" s="89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90"/>
      <c r="AI20" s="36"/>
      <c r="AJ20" s="34"/>
      <c r="AK20" s="29"/>
      <c r="AL20" s="28"/>
      <c r="AM20" s="34"/>
      <c r="AN20" s="60"/>
      <c r="AO20" s="30"/>
      <c r="AP20" s="74"/>
      <c r="AQ20" s="127"/>
      <c r="AR20" s="5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CD20" s="83">
        <f t="shared" si="0"/>
        <v>0</v>
      </c>
      <c r="CE20" s="66">
        <f t="shared" si="1"/>
        <v>0</v>
      </c>
      <c r="CF20" s="83">
        <f t="shared" si="2"/>
        <v>0</v>
      </c>
      <c r="CG20" s="65">
        <f t="shared" si="3"/>
        <v>0</v>
      </c>
      <c r="CH20" s="83">
        <f t="shared" si="4"/>
        <v>0</v>
      </c>
      <c r="CI20" s="65">
        <f t="shared" si="5"/>
        <v>0</v>
      </c>
      <c r="CJ20" s="83">
        <f t="shared" si="6"/>
        <v>0</v>
      </c>
      <c r="CK20" s="65">
        <f t="shared" si="7"/>
        <v>0</v>
      </c>
      <c r="CL20" s="83">
        <f t="shared" si="8"/>
        <v>0</v>
      </c>
      <c r="CM20" s="83">
        <f t="shared" si="9"/>
        <v>0</v>
      </c>
      <c r="CN20" s="111">
        <f t="shared" si="10"/>
        <v>0</v>
      </c>
      <c r="CO20" s="111">
        <f t="shared" si="11"/>
        <v>0</v>
      </c>
      <c r="CP20" s="111">
        <f t="shared" si="12"/>
        <v>0</v>
      </c>
      <c r="CQ20" s="111">
        <f t="shared" si="13"/>
        <v>0</v>
      </c>
      <c r="CS20" s="83">
        <f t="shared" si="14"/>
        <v>0</v>
      </c>
      <c r="CT20" s="83">
        <f t="shared" si="15"/>
        <v>0</v>
      </c>
      <c r="CU20" s="83">
        <f t="shared" si="16"/>
        <v>0</v>
      </c>
      <c r="CV20" s="111">
        <v>0</v>
      </c>
      <c r="CW20" s="111">
        <v>0</v>
      </c>
      <c r="CX20" s="111">
        <v>0</v>
      </c>
      <c r="CY20" s="111">
        <v>0</v>
      </c>
    </row>
    <row r="21" spans="1:103" ht="22" customHeight="1" thickTop="1" thickBot="1" x14ac:dyDescent="0.3">
      <c r="A21" s="153">
        <v>5</v>
      </c>
      <c r="B21" s="138"/>
      <c r="C21" s="91" t="s">
        <v>11</v>
      </c>
      <c r="D21" s="136"/>
      <c r="E21" s="136"/>
      <c r="F21" s="130"/>
      <c r="G21" s="132"/>
      <c r="H21" s="134"/>
      <c r="I21" s="134"/>
      <c r="J21" s="130"/>
      <c r="K21" s="130"/>
      <c r="L21" s="130"/>
      <c r="M21" s="130"/>
      <c r="N21" s="132"/>
      <c r="O21" s="134"/>
      <c r="P21" s="134"/>
      <c r="Q21" s="130"/>
      <c r="R21" s="130"/>
      <c r="S21" s="130"/>
      <c r="T21" s="147"/>
      <c r="U21" s="132"/>
      <c r="V21" s="134"/>
      <c r="W21" s="134"/>
      <c r="X21" s="130"/>
      <c r="Y21" s="130"/>
      <c r="Z21" s="132"/>
      <c r="AA21" s="132"/>
      <c r="AB21" s="130"/>
      <c r="AC21" s="134"/>
      <c r="AD21" s="134"/>
      <c r="AE21" s="134"/>
      <c r="AF21" s="134"/>
      <c r="AG21" s="130"/>
      <c r="AH21" s="151"/>
      <c r="AI21" s="159">
        <f t="shared" ref="AI21" si="19">SUM(D21:AH21)</f>
        <v>0</v>
      </c>
      <c r="AJ21" s="86">
        <f>SUMIF(D23:AH23, "LL", D21:AH21) + SUMIF(D23:AH23, "LL", D22:AH22)</f>
        <v>0</v>
      </c>
      <c r="AK21" s="12"/>
      <c r="AL21" s="18"/>
      <c r="AM21" s="99">
        <f>SUMIF(D23:AH23, "CO", D21:AH21) + SUMIF(D23:AH23, "CO", D22:AH22)</f>
        <v>0</v>
      </c>
      <c r="AN21" s="58">
        <f ca="1">SUM(AI21:CA21)</f>
        <v>0</v>
      </c>
      <c r="AO21" s="17"/>
      <c r="AP21" s="75"/>
      <c r="AQ21" s="127"/>
      <c r="AR21" s="6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CD21" s="83">
        <f t="shared" si="0"/>
        <v>0</v>
      </c>
      <c r="CE21" s="66">
        <f t="shared" si="1"/>
        <v>0</v>
      </c>
      <c r="CF21" s="83">
        <f t="shared" si="2"/>
        <v>0</v>
      </c>
      <c r="CG21" s="65">
        <f t="shared" si="3"/>
        <v>0</v>
      </c>
      <c r="CH21" s="83">
        <f t="shared" si="4"/>
        <v>0</v>
      </c>
      <c r="CI21" s="65">
        <f t="shared" si="5"/>
        <v>0</v>
      </c>
      <c r="CJ21" s="83">
        <f t="shared" si="6"/>
        <v>0</v>
      </c>
      <c r="CK21" s="65">
        <f t="shared" si="7"/>
        <v>0</v>
      </c>
      <c r="CL21" s="83">
        <f t="shared" si="8"/>
        <v>0</v>
      </c>
      <c r="CM21" s="83">
        <f t="shared" si="9"/>
        <v>0</v>
      </c>
      <c r="CN21" s="111">
        <f t="shared" si="10"/>
        <v>0</v>
      </c>
      <c r="CO21" s="111">
        <f t="shared" si="11"/>
        <v>0</v>
      </c>
      <c r="CP21" s="111">
        <f t="shared" si="12"/>
        <v>0</v>
      </c>
      <c r="CQ21" s="111">
        <f t="shared" si="13"/>
        <v>0</v>
      </c>
      <c r="CS21" s="83">
        <f t="shared" si="14"/>
        <v>0</v>
      </c>
      <c r="CT21" s="83">
        <f t="shared" si="15"/>
        <v>0</v>
      </c>
      <c r="CU21" s="83">
        <f t="shared" si="16"/>
        <v>0</v>
      </c>
      <c r="CV21" s="111">
        <v>0</v>
      </c>
      <c r="CW21" s="111">
        <v>0</v>
      </c>
      <c r="CX21" s="111">
        <v>0</v>
      </c>
      <c r="CY21" s="111">
        <v>0</v>
      </c>
    </row>
    <row r="22" spans="1:103" ht="20" thickBot="1" x14ac:dyDescent="0.3">
      <c r="A22" s="154"/>
      <c r="B22" s="139"/>
      <c r="C22" s="3" t="s">
        <v>12</v>
      </c>
      <c r="D22" s="137"/>
      <c r="E22" s="137"/>
      <c r="F22" s="131"/>
      <c r="G22" s="133"/>
      <c r="H22" s="135"/>
      <c r="I22" s="135"/>
      <c r="J22" s="131"/>
      <c r="K22" s="131"/>
      <c r="L22" s="131"/>
      <c r="M22" s="131"/>
      <c r="N22" s="133"/>
      <c r="O22" s="135"/>
      <c r="P22" s="135"/>
      <c r="Q22" s="131"/>
      <c r="R22" s="131"/>
      <c r="S22" s="131"/>
      <c r="T22" s="148"/>
      <c r="U22" s="133"/>
      <c r="V22" s="135"/>
      <c r="W22" s="135"/>
      <c r="X22" s="131"/>
      <c r="Y22" s="131"/>
      <c r="Z22" s="133"/>
      <c r="AA22" s="133"/>
      <c r="AB22" s="131"/>
      <c r="AC22" s="135"/>
      <c r="AD22" s="135"/>
      <c r="AE22" s="135"/>
      <c r="AF22" s="135"/>
      <c r="AG22" s="131"/>
      <c r="AH22" s="152"/>
      <c r="AI22" s="160"/>
      <c r="AJ22" s="11"/>
      <c r="AK22" s="10"/>
      <c r="AL22" s="7"/>
      <c r="AM22" s="11"/>
      <c r="AN22" s="59"/>
      <c r="AO22" s="5"/>
      <c r="AP22" s="73"/>
      <c r="AQ22" s="127"/>
      <c r="AR22" s="5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CD22" s="83">
        <f t="shared" si="0"/>
        <v>0</v>
      </c>
      <c r="CE22" s="66">
        <f t="shared" si="1"/>
        <v>0</v>
      </c>
      <c r="CF22" s="83">
        <f t="shared" si="2"/>
        <v>0</v>
      </c>
      <c r="CG22" s="65">
        <f t="shared" si="3"/>
        <v>0</v>
      </c>
      <c r="CH22" s="83">
        <f t="shared" si="4"/>
        <v>0</v>
      </c>
      <c r="CI22" s="65">
        <f t="shared" si="5"/>
        <v>0</v>
      </c>
      <c r="CJ22" s="83">
        <f t="shared" si="6"/>
        <v>0</v>
      </c>
      <c r="CK22" s="65">
        <f t="shared" si="7"/>
        <v>0</v>
      </c>
      <c r="CL22" s="83">
        <f t="shared" si="8"/>
        <v>0</v>
      </c>
      <c r="CM22" s="83">
        <f t="shared" si="9"/>
        <v>0</v>
      </c>
      <c r="CN22" s="111">
        <f t="shared" si="10"/>
        <v>0</v>
      </c>
      <c r="CO22" s="111">
        <f t="shared" si="11"/>
        <v>0</v>
      </c>
      <c r="CP22" s="111">
        <f t="shared" si="12"/>
        <v>0</v>
      </c>
      <c r="CQ22" s="111">
        <f t="shared" si="13"/>
        <v>0</v>
      </c>
      <c r="CS22" s="83">
        <f t="shared" ca="1" si="14"/>
        <v>0</v>
      </c>
      <c r="CT22" s="83">
        <f t="shared" ca="1" si="15"/>
        <v>0</v>
      </c>
      <c r="CU22" s="83">
        <f t="shared" ca="1" si="16"/>
        <v>0</v>
      </c>
      <c r="CV22" s="111">
        <v>0</v>
      </c>
      <c r="CW22" s="111">
        <v>0</v>
      </c>
      <c r="CX22" s="111">
        <v>0</v>
      </c>
      <c r="CY22" s="111">
        <v>0</v>
      </c>
    </row>
    <row r="23" spans="1:103" ht="20" thickBot="1" x14ac:dyDescent="0.3">
      <c r="A23" s="155"/>
      <c r="B23" s="140"/>
      <c r="C23" s="92" t="s">
        <v>4</v>
      </c>
      <c r="D23" s="88"/>
      <c r="E23" s="88"/>
      <c r="F23" s="88"/>
      <c r="G23" s="89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90"/>
      <c r="AI23" s="36"/>
      <c r="AJ23" s="34"/>
      <c r="AK23" s="29"/>
      <c r="AL23" s="28"/>
      <c r="AM23" s="34"/>
      <c r="AN23" s="60"/>
      <c r="AO23" s="30"/>
      <c r="AP23" s="74"/>
      <c r="AQ23" s="127"/>
      <c r="AR23" s="5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CD23" s="83">
        <f t="shared" si="0"/>
        <v>0</v>
      </c>
      <c r="CE23" s="66">
        <f t="shared" si="1"/>
        <v>0</v>
      </c>
      <c r="CF23" s="83">
        <f t="shared" si="2"/>
        <v>0</v>
      </c>
      <c r="CG23" s="65">
        <f t="shared" si="3"/>
        <v>0</v>
      </c>
      <c r="CH23" s="83">
        <f t="shared" si="4"/>
        <v>0</v>
      </c>
      <c r="CI23" s="65">
        <f t="shared" si="5"/>
        <v>0</v>
      </c>
      <c r="CJ23" s="83">
        <f t="shared" si="6"/>
        <v>0</v>
      </c>
      <c r="CK23" s="65">
        <f t="shared" si="7"/>
        <v>0</v>
      </c>
      <c r="CL23" s="83">
        <f t="shared" si="8"/>
        <v>0</v>
      </c>
      <c r="CM23" s="83">
        <f t="shared" si="9"/>
        <v>0</v>
      </c>
      <c r="CN23" s="111">
        <f t="shared" si="10"/>
        <v>0</v>
      </c>
      <c r="CO23" s="111">
        <f t="shared" si="11"/>
        <v>0</v>
      </c>
      <c r="CP23" s="111">
        <f t="shared" si="12"/>
        <v>0</v>
      </c>
      <c r="CQ23" s="111">
        <f t="shared" si="13"/>
        <v>0</v>
      </c>
      <c r="CS23" s="83">
        <f t="shared" si="14"/>
        <v>0</v>
      </c>
      <c r="CT23" s="83">
        <f t="shared" si="15"/>
        <v>0</v>
      </c>
      <c r="CU23" s="83">
        <f t="shared" si="16"/>
        <v>0</v>
      </c>
      <c r="CV23" s="111">
        <v>0</v>
      </c>
      <c r="CW23" s="111">
        <v>0</v>
      </c>
      <c r="CX23" s="111">
        <v>0</v>
      </c>
      <c r="CY23" s="111">
        <v>0</v>
      </c>
    </row>
    <row r="24" spans="1:103" ht="20" customHeight="1" thickTop="1" thickBot="1" x14ac:dyDescent="0.3">
      <c r="A24" s="153">
        <v>6</v>
      </c>
      <c r="B24" s="138"/>
      <c r="C24" s="91" t="s">
        <v>11</v>
      </c>
      <c r="D24" s="136"/>
      <c r="E24" s="136"/>
      <c r="F24" s="130"/>
      <c r="G24" s="132"/>
      <c r="H24" s="134"/>
      <c r="I24" s="134"/>
      <c r="J24" s="130"/>
      <c r="K24" s="130"/>
      <c r="L24" s="130"/>
      <c r="M24" s="130"/>
      <c r="N24" s="132"/>
      <c r="O24" s="134"/>
      <c r="P24" s="134"/>
      <c r="Q24" s="130"/>
      <c r="R24" s="130"/>
      <c r="S24" s="130"/>
      <c r="T24" s="147"/>
      <c r="U24" s="132"/>
      <c r="V24" s="134"/>
      <c r="W24" s="134"/>
      <c r="X24" s="130"/>
      <c r="Y24" s="130"/>
      <c r="Z24" s="132"/>
      <c r="AA24" s="132"/>
      <c r="AB24" s="130"/>
      <c r="AC24" s="134"/>
      <c r="AD24" s="134"/>
      <c r="AE24" s="134"/>
      <c r="AF24" s="134"/>
      <c r="AG24" s="130"/>
      <c r="AH24" s="151"/>
      <c r="AI24" s="159">
        <f t="shared" ref="AI24" si="20">SUM(D24:AH24)</f>
        <v>0</v>
      </c>
      <c r="AJ24" s="87">
        <f>SUMIF(D26:AH26, "LL", D24:AH24) + SUMIF(D26:AH26, "LL", D25:AH25)</f>
        <v>0</v>
      </c>
      <c r="AK24" s="18"/>
      <c r="AL24" s="18"/>
      <c r="AM24" s="100">
        <f>SUMIF(D26:AH26, "CO", D24:AH24) + SUMIF(D26:AH26, "CO", D25:AH25)</f>
        <v>0</v>
      </c>
      <c r="AN24" s="58">
        <f ca="1">SUM(AI24:CA24)</f>
        <v>0</v>
      </c>
      <c r="AO24" s="17"/>
      <c r="AP24" s="76"/>
      <c r="AQ24" s="127"/>
      <c r="AR24" s="46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CD24" s="83">
        <f t="shared" si="0"/>
        <v>0</v>
      </c>
      <c r="CE24" s="66">
        <f t="shared" si="1"/>
        <v>0</v>
      </c>
      <c r="CF24" s="83">
        <f t="shared" si="2"/>
        <v>0</v>
      </c>
      <c r="CG24" s="65">
        <f t="shared" si="3"/>
        <v>0</v>
      </c>
      <c r="CH24" s="83">
        <f t="shared" si="4"/>
        <v>0</v>
      </c>
      <c r="CI24" s="65">
        <f t="shared" si="5"/>
        <v>0</v>
      </c>
      <c r="CJ24" s="83">
        <f t="shared" si="6"/>
        <v>0</v>
      </c>
      <c r="CK24" s="65">
        <f t="shared" si="7"/>
        <v>0</v>
      </c>
      <c r="CL24" s="83">
        <f t="shared" si="8"/>
        <v>0</v>
      </c>
      <c r="CM24" s="83">
        <f t="shared" si="9"/>
        <v>0</v>
      </c>
      <c r="CN24" s="111">
        <f t="shared" si="10"/>
        <v>0</v>
      </c>
      <c r="CO24" s="111">
        <f t="shared" si="11"/>
        <v>0</v>
      </c>
      <c r="CP24" s="111">
        <f t="shared" si="12"/>
        <v>0</v>
      </c>
      <c r="CQ24" s="111">
        <f t="shared" si="13"/>
        <v>0</v>
      </c>
      <c r="CS24" s="83">
        <f t="shared" si="14"/>
        <v>0</v>
      </c>
      <c r="CT24" s="83">
        <f t="shared" si="15"/>
        <v>0</v>
      </c>
      <c r="CU24" s="83">
        <f t="shared" si="16"/>
        <v>0</v>
      </c>
      <c r="CV24" s="111">
        <v>0</v>
      </c>
      <c r="CW24" s="111">
        <v>0</v>
      </c>
      <c r="CX24" s="111">
        <v>0</v>
      </c>
      <c r="CY24" s="111">
        <v>0</v>
      </c>
    </row>
    <row r="25" spans="1:103" ht="20" thickBot="1" x14ac:dyDescent="0.3">
      <c r="A25" s="154"/>
      <c r="B25" s="139"/>
      <c r="C25" s="3" t="s">
        <v>12</v>
      </c>
      <c r="D25" s="137"/>
      <c r="E25" s="137"/>
      <c r="F25" s="131"/>
      <c r="G25" s="133"/>
      <c r="H25" s="135"/>
      <c r="I25" s="135"/>
      <c r="J25" s="131"/>
      <c r="K25" s="131"/>
      <c r="L25" s="131"/>
      <c r="M25" s="131"/>
      <c r="N25" s="133"/>
      <c r="O25" s="135"/>
      <c r="P25" s="135"/>
      <c r="Q25" s="131"/>
      <c r="R25" s="131"/>
      <c r="S25" s="131"/>
      <c r="T25" s="148"/>
      <c r="U25" s="133"/>
      <c r="V25" s="135"/>
      <c r="W25" s="135"/>
      <c r="X25" s="131"/>
      <c r="Y25" s="131"/>
      <c r="Z25" s="133"/>
      <c r="AA25" s="133"/>
      <c r="AB25" s="131"/>
      <c r="AC25" s="135"/>
      <c r="AD25" s="135"/>
      <c r="AE25" s="135"/>
      <c r="AF25" s="135"/>
      <c r="AG25" s="131"/>
      <c r="AH25" s="152"/>
      <c r="AI25" s="160"/>
      <c r="AJ25" s="11"/>
      <c r="AK25" s="7"/>
      <c r="AL25" s="7"/>
      <c r="AM25" s="11"/>
      <c r="AN25" s="59"/>
      <c r="AO25" s="5"/>
      <c r="AP25" s="73"/>
      <c r="AQ25" s="127"/>
      <c r="AR25" s="5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CD25" s="83">
        <f t="shared" si="0"/>
        <v>0</v>
      </c>
      <c r="CE25" s="66">
        <f t="shared" si="1"/>
        <v>0</v>
      </c>
      <c r="CF25" s="83">
        <f t="shared" si="2"/>
        <v>0</v>
      </c>
      <c r="CG25" s="65">
        <f t="shared" si="3"/>
        <v>0</v>
      </c>
      <c r="CH25" s="83">
        <f t="shared" si="4"/>
        <v>0</v>
      </c>
      <c r="CI25" s="65">
        <f t="shared" si="5"/>
        <v>0</v>
      </c>
      <c r="CJ25" s="83">
        <f t="shared" si="6"/>
        <v>0</v>
      </c>
      <c r="CK25" s="65">
        <f t="shared" si="7"/>
        <v>0</v>
      </c>
      <c r="CL25" s="83">
        <f t="shared" si="8"/>
        <v>0</v>
      </c>
      <c r="CM25" s="83">
        <f t="shared" si="9"/>
        <v>0</v>
      </c>
      <c r="CN25" s="111">
        <f t="shared" si="10"/>
        <v>0</v>
      </c>
      <c r="CO25" s="111">
        <f t="shared" si="11"/>
        <v>0</v>
      </c>
      <c r="CP25" s="111">
        <f t="shared" si="12"/>
        <v>0</v>
      </c>
      <c r="CQ25" s="111">
        <f t="shared" si="13"/>
        <v>0</v>
      </c>
      <c r="CS25" s="83">
        <f t="shared" ca="1" si="14"/>
        <v>0</v>
      </c>
      <c r="CT25" s="83">
        <f t="shared" ca="1" si="15"/>
        <v>0</v>
      </c>
      <c r="CU25" s="83">
        <f t="shared" ca="1" si="16"/>
        <v>0</v>
      </c>
      <c r="CV25" s="111">
        <v>0</v>
      </c>
      <c r="CW25" s="111">
        <v>0</v>
      </c>
      <c r="CX25" s="111">
        <v>0</v>
      </c>
      <c r="CY25" s="111">
        <v>0</v>
      </c>
    </row>
    <row r="26" spans="1:103" ht="20" thickBot="1" x14ac:dyDescent="0.3">
      <c r="A26" s="155"/>
      <c r="B26" s="140"/>
      <c r="C26" s="92" t="s">
        <v>4</v>
      </c>
      <c r="D26" s="88"/>
      <c r="E26" s="88"/>
      <c r="F26" s="88"/>
      <c r="G26" s="89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90"/>
      <c r="AI26" s="36"/>
      <c r="AJ26" s="34"/>
      <c r="AK26" s="28"/>
      <c r="AL26" s="28"/>
      <c r="AM26" s="34"/>
      <c r="AN26" s="60"/>
      <c r="AO26" s="30"/>
      <c r="AP26" s="74"/>
      <c r="AQ26" s="127"/>
      <c r="AR26" s="5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CD26" s="83">
        <f t="shared" si="0"/>
        <v>0</v>
      </c>
      <c r="CE26" s="66">
        <f t="shared" si="1"/>
        <v>0</v>
      </c>
      <c r="CF26" s="83">
        <f t="shared" si="2"/>
        <v>0</v>
      </c>
      <c r="CG26" s="65">
        <f t="shared" si="3"/>
        <v>0</v>
      </c>
      <c r="CH26" s="83">
        <f t="shared" si="4"/>
        <v>0</v>
      </c>
      <c r="CI26" s="65">
        <f t="shared" si="5"/>
        <v>0</v>
      </c>
      <c r="CJ26" s="83">
        <f t="shared" si="6"/>
        <v>0</v>
      </c>
      <c r="CK26" s="65">
        <f t="shared" si="7"/>
        <v>0</v>
      </c>
      <c r="CL26" s="83">
        <f t="shared" si="8"/>
        <v>0</v>
      </c>
      <c r="CM26" s="83">
        <f t="shared" si="9"/>
        <v>0</v>
      </c>
      <c r="CN26" s="111">
        <f t="shared" si="10"/>
        <v>0</v>
      </c>
      <c r="CO26" s="111">
        <f t="shared" si="11"/>
        <v>0</v>
      </c>
      <c r="CP26" s="111">
        <f t="shared" si="12"/>
        <v>0</v>
      </c>
      <c r="CQ26" s="111">
        <f t="shared" si="13"/>
        <v>0</v>
      </c>
      <c r="CS26" s="83">
        <f t="shared" si="14"/>
        <v>0</v>
      </c>
      <c r="CT26" s="83">
        <f t="shared" si="15"/>
        <v>0</v>
      </c>
      <c r="CU26" s="83">
        <f t="shared" si="16"/>
        <v>0</v>
      </c>
      <c r="CV26" s="111">
        <v>0</v>
      </c>
      <c r="CW26" s="111">
        <v>0</v>
      </c>
      <c r="CX26" s="111">
        <v>0</v>
      </c>
      <c r="CY26" s="111">
        <v>0</v>
      </c>
    </row>
    <row r="27" spans="1:103" ht="20" customHeight="1" thickTop="1" thickBot="1" x14ac:dyDescent="0.3">
      <c r="A27" s="153">
        <v>7</v>
      </c>
      <c r="B27" s="138"/>
      <c r="C27" s="91" t="s">
        <v>11</v>
      </c>
      <c r="D27" s="136"/>
      <c r="E27" s="136"/>
      <c r="F27" s="130"/>
      <c r="G27" s="132"/>
      <c r="H27" s="134"/>
      <c r="I27" s="134"/>
      <c r="J27" s="130"/>
      <c r="K27" s="130"/>
      <c r="L27" s="130"/>
      <c r="M27" s="130"/>
      <c r="N27" s="132"/>
      <c r="O27" s="134"/>
      <c r="P27" s="134"/>
      <c r="Q27" s="130"/>
      <c r="R27" s="130"/>
      <c r="S27" s="130"/>
      <c r="T27" s="147"/>
      <c r="U27" s="132"/>
      <c r="V27" s="134"/>
      <c r="W27" s="134"/>
      <c r="X27" s="130"/>
      <c r="Y27" s="130"/>
      <c r="Z27" s="132"/>
      <c r="AA27" s="132"/>
      <c r="AB27" s="130"/>
      <c r="AC27" s="134"/>
      <c r="AD27" s="134"/>
      <c r="AE27" s="134"/>
      <c r="AF27" s="134"/>
      <c r="AG27" s="130"/>
      <c r="AH27" s="151"/>
      <c r="AI27" s="159">
        <f t="shared" ref="AI27" si="21">SUM(D27:AH27)</f>
        <v>0</v>
      </c>
      <c r="AJ27" s="86">
        <f>SUMIF(D29:AH29, "LL", D27:AH27) + SUMIF(D29:AH29, "LL", D28:AH28)</f>
        <v>0</v>
      </c>
      <c r="AK27" s="18"/>
      <c r="AL27" s="26"/>
      <c r="AM27" s="99">
        <f>SUMIF(D29:AH29, "CO", D27:AH27) + SUMIF(D29:AH29, "CO", D28:AH28)</f>
        <v>0</v>
      </c>
      <c r="AN27" s="61">
        <f ca="1">SUM(AI27:CA27)</f>
        <v>0</v>
      </c>
      <c r="AO27" s="27"/>
      <c r="AP27" s="77"/>
      <c r="AQ27" s="127"/>
      <c r="AR27" s="5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CD27" s="83">
        <f t="shared" si="0"/>
        <v>0</v>
      </c>
      <c r="CE27" s="66">
        <f t="shared" si="1"/>
        <v>0</v>
      </c>
      <c r="CF27" s="83">
        <f t="shared" si="2"/>
        <v>0</v>
      </c>
      <c r="CG27" s="65">
        <f t="shared" si="3"/>
        <v>0</v>
      </c>
      <c r="CH27" s="83">
        <f t="shared" si="4"/>
        <v>0</v>
      </c>
      <c r="CI27" s="65">
        <f t="shared" si="5"/>
        <v>0</v>
      </c>
      <c r="CJ27" s="83">
        <f t="shared" si="6"/>
        <v>0</v>
      </c>
      <c r="CK27" s="65">
        <f t="shared" si="7"/>
        <v>0</v>
      </c>
      <c r="CL27" s="83">
        <f t="shared" si="8"/>
        <v>0</v>
      </c>
      <c r="CM27" s="83">
        <f t="shared" si="9"/>
        <v>0</v>
      </c>
      <c r="CN27" s="111">
        <f t="shared" si="10"/>
        <v>0</v>
      </c>
      <c r="CO27" s="111">
        <f t="shared" si="11"/>
        <v>0</v>
      </c>
      <c r="CP27" s="111">
        <f t="shared" si="12"/>
        <v>0</v>
      </c>
      <c r="CQ27" s="111">
        <f t="shared" si="13"/>
        <v>0</v>
      </c>
      <c r="CS27" s="83">
        <f t="shared" si="14"/>
        <v>0</v>
      </c>
      <c r="CT27" s="83">
        <f t="shared" si="15"/>
        <v>0</v>
      </c>
      <c r="CU27" s="83">
        <f t="shared" si="16"/>
        <v>0</v>
      </c>
      <c r="CV27" s="111">
        <v>0</v>
      </c>
      <c r="CW27" s="111">
        <v>0</v>
      </c>
      <c r="CX27" s="111">
        <v>0</v>
      </c>
      <c r="CY27" s="111">
        <v>0</v>
      </c>
    </row>
    <row r="28" spans="1:103" ht="22" thickBot="1" x14ac:dyDescent="0.3">
      <c r="A28" s="154"/>
      <c r="B28" s="139"/>
      <c r="C28" s="3" t="s">
        <v>12</v>
      </c>
      <c r="D28" s="137"/>
      <c r="E28" s="137"/>
      <c r="F28" s="131"/>
      <c r="G28" s="133"/>
      <c r="H28" s="135"/>
      <c r="I28" s="135"/>
      <c r="J28" s="131"/>
      <c r="K28" s="131"/>
      <c r="L28" s="131"/>
      <c r="M28" s="131"/>
      <c r="N28" s="133"/>
      <c r="O28" s="135"/>
      <c r="P28" s="135"/>
      <c r="Q28" s="131"/>
      <c r="R28" s="131"/>
      <c r="S28" s="131"/>
      <c r="T28" s="148"/>
      <c r="U28" s="133"/>
      <c r="V28" s="135"/>
      <c r="W28" s="135"/>
      <c r="X28" s="131"/>
      <c r="Y28" s="131"/>
      <c r="Z28" s="133"/>
      <c r="AA28" s="133"/>
      <c r="AB28" s="131"/>
      <c r="AC28" s="135"/>
      <c r="AD28" s="135"/>
      <c r="AE28" s="135"/>
      <c r="AF28" s="135"/>
      <c r="AG28" s="131"/>
      <c r="AH28" s="152"/>
      <c r="AI28" s="160"/>
      <c r="AJ28" s="11"/>
      <c r="AK28" s="7"/>
      <c r="AL28" s="7"/>
      <c r="AM28" s="11"/>
      <c r="AN28" s="59"/>
      <c r="AO28" s="5"/>
      <c r="AP28" s="78"/>
      <c r="AQ28" s="127"/>
      <c r="AR28" s="5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CD28" s="83">
        <f t="shared" si="0"/>
        <v>0</v>
      </c>
      <c r="CE28" s="66">
        <f t="shared" si="1"/>
        <v>0</v>
      </c>
      <c r="CF28" s="83">
        <f t="shared" si="2"/>
        <v>0</v>
      </c>
      <c r="CG28" s="65">
        <f t="shared" si="3"/>
        <v>0</v>
      </c>
      <c r="CH28" s="83">
        <f t="shared" si="4"/>
        <v>0</v>
      </c>
      <c r="CI28" s="65">
        <f t="shared" si="5"/>
        <v>0</v>
      </c>
      <c r="CJ28" s="83">
        <f t="shared" si="6"/>
        <v>0</v>
      </c>
      <c r="CK28" s="65">
        <f t="shared" si="7"/>
        <v>0</v>
      </c>
      <c r="CL28" s="83">
        <f t="shared" si="8"/>
        <v>0</v>
      </c>
      <c r="CM28" s="83">
        <f t="shared" si="9"/>
        <v>0</v>
      </c>
      <c r="CN28" s="111">
        <f t="shared" si="10"/>
        <v>0</v>
      </c>
      <c r="CO28" s="111">
        <f t="shared" si="11"/>
        <v>0</v>
      </c>
      <c r="CP28" s="111">
        <f t="shared" si="12"/>
        <v>0</v>
      </c>
      <c r="CQ28" s="111">
        <f t="shared" si="13"/>
        <v>0</v>
      </c>
      <c r="CS28" s="83">
        <f t="shared" ca="1" si="14"/>
        <v>0</v>
      </c>
      <c r="CT28" s="83">
        <f t="shared" ca="1" si="15"/>
        <v>0</v>
      </c>
      <c r="CU28" s="83">
        <f t="shared" ca="1" si="16"/>
        <v>0</v>
      </c>
      <c r="CV28" s="111">
        <v>0</v>
      </c>
      <c r="CW28" s="111">
        <v>0</v>
      </c>
      <c r="CX28" s="111">
        <v>0</v>
      </c>
      <c r="CY28" s="111">
        <v>0</v>
      </c>
    </row>
    <row r="29" spans="1:103" ht="20" thickBot="1" x14ac:dyDescent="0.3">
      <c r="A29" s="155"/>
      <c r="B29" s="140"/>
      <c r="C29" s="92" t="s">
        <v>4</v>
      </c>
      <c r="D29" s="88"/>
      <c r="E29" s="88"/>
      <c r="F29" s="88"/>
      <c r="G29" s="89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90"/>
      <c r="AI29" s="36"/>
      <c r="AJ29" s="34"/>
      <c r="AK29" s="28"/>
      <c r="AL29" s="28"/>
      <c r="AM29" s="34"/>
      <c r="AN29" s="60"/>
      <c r="AO29" s="30"/>
      <c r="AP29" s="74"/>
      <c r="AQ29" s="127"/>
      <c r="AR29" s="5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CD29" s="83">
        <f t="shared" si="0"/>
        <v>0</v>
      </c>
      <c r="CE29" s="66">
        <f t="shared" si="1"/>
        <v>0</v>
      </c>
      <c r="CF29" s="83">
        <f t="shared" si="2"/>
        <v>0</v>
      </c>
      <c r="CG29" s="65">
        <f t="shared" si="3"/>
        <v>0</v>
      </c>
      <c r="CH29" s="83">
        <f t="shared" si="4"/>
        <v>0</v>
      </c>
      <c r="CI29" s="65">
        <f t="shared" si="5"/>
        <v>0</v>
      </c>
      <c r="CJ29" s="83">
        <f t="shared" si="6"/>
        <v>0</v>
      </c>
      <c r="CK29" s="65">
        <f t="shared" si="7"/>
        <v>0</v>
      </c>
      <c r="CL29" s="83">
        <f t="shared" si="8"/>
        <v>0</v>
      </c>
      <c r="CM29" s="83">
        <f t="shared" si="9"/>
        <v>0</v>
      </c>
      <c r="CN29" s="111">
        <f t="shared" si="10"/>
        <v>0</v>
      </c>
      <c r="CO29" s="111">
        <f t="shared" si="11"/>
        <v>0</v>
      </c>
      <c r="CP29" s="111">
        <f t="shared" si="12"/>
        <v>0</v>
      </c>
      <c r="CQ29" s="111">
        <f t="shared" si="13"/>
        <v>0</v>
      </c>
      <c r="CS29" s="83">
        <f t="shared" si="14"/>
        <v>0</v>
      </c>
      <c r="CT29" s="83">
        <f t="shared" si="15"/>
        <v>0</v>
      </c>
      <c r="CU29" s="83">
        <f t="shared" si="16"/>
        <v>0</v>
      </c>
      <c r="CV29" s="111">
        <v>0</v>
      </c>
      <c r="CW29" s="111">
        <v>0</v>
      </c>
      <c r="CX29" s="111">
        <v>0</v>
      </c>
      <c r="CY29" s="111">
        <v>0</v>
      </c>
    </row>
    <row r="30" spans="1:103" ht="20" customHeight="1" thickTop="1" thickBot="1" x14ac:dyDescent="0.3">
      <c r="A30" s="153">
        <v>8</v>
      </c>
      <c r="B30" s="138"/>
      <c r="C30" s="91" t="s">
        <v>11</v>
      </c>
      <c r="D30" s="136"/>
      <c r="E30" s="136"/>
      <c r="F30" s="130"/>
      <c r="G30" s="132"/>
      <c r="H30" s="134"/>
      <c r="I30" s="134"/>
      <c r="J30" s="130"/>
      <c r="K30" s="130"/>
      <c r="L30" s="130"/>
      <c r="M30" s="130"/>
      <c r="N30" s="132"/>
      <c r="O30" s="134"/>
      <c r="P30" s="134"/>
      <c r="Q30" s="130"/>
      <c r="R30" s="130"/>
      <c r="S30" s="130"/>
      <c r="T30" s="147"/>
      <c r="U30" s="132"/>
      <c r="V30" s="134"/>
      <c r="W30" s="134"/>
      <c r="X30" s="130"/>
      <c r="Y30" s="130"/>
      <c r="Z30" s="132"/>
      <c r="AA30" s="132"/>
      <c r="AB30" s="130"/>
      <c r="AC30" s="134"/>
      <c r="AD30" s="134"/>
      <c r="AE30" s="134"/>
      <c r="AF30" s="134"/>
      <c r="AG30" s="130"/>
      <c r="AH30" s="151"/>
      <c r="AI30" s="159">
        <f t="shared" ref="AI30" si="22">SUM(D30:AH30)</f>
        <v>0</v>
      </c>
      <c r="AJ30" s="87">
        <f>SUMIF(D32:AH32, "LL", D30:AH30) + SUMIF(D32:AH32, "LL", D31:AH31)</f>
        <v>0</v>
      </c>
      <c r="AK30" s="18"/>
      <c r="AL30" s="26"/>
      <c r="AM30" s="100">
        <f>SUMIF(D32:AH32, "CO", D30:AH30) + SUMIF(D32:AH32, "CO", D31:AH31)</f>
        <v>0</v>
      </c>
      <c r="AN30" s="61">
        <f ca="1">SUM(AI30:CA30)</f>
        <v>0</v>
      </c>
      <c r="AO30" s="27"/>
      <c r="AP30" s="77"/>
      <c r="AQ30" s="127"/>
      <c r="AR30" s="5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CD30" s="83">
        <f t="shared" si="0"/>
        <v>0</v>
      </c>
      <c r="CE30" s="66">
        <f t="shared" si="1"/>
        <v>0</v>
      </c>
      <c r="CF30" s="83">
        <f t="shared" si="2"/>
        <v>0</v>
      </c>
      <c r="CG30" s="65">
        <f t="shared" si="3"/>
        <v>0</v>
      </c>
      <c r="CH30" s="83">
        <f t="shared" si="4"/>
        <v>0</v>
      </c>
      <c r="CI30" s="65">
        <f t="shared" si="5"/>
        <v>0</v>
      </c>
      <c r="CJ30" s="83">
        <f t="shared" si="6"/>
        <v>0</v>
      </c>
      <c r="CK30" s="65">
        <f t="shared" si="7"/>
        <v>0</v>
      </c>
      <c r="CL30" s="83">
        <f t="shared" si="8"/>
        <v>0</v>
      </c>
      <c r="CM30" s="83">
        <f t="shared" si="9"/>
        <v>0</v>
      </c>
      <c r="CN30" s="111">
        <f t="shared" si="10"/>
        <v>0</v>
      </c>
      <c r="CO30" s="111">
        <f t="shared" si="11"/>
        <v>0</v>
      </c>
      <c r="CP30" s="111">
        <f t="shared" si="12"/>
        <v>0</v>
      </c>
      <c r="CQ30" s="111">
        <f t="shared" si="13"/>
        <v>0</v>
      </c>
      <c r="CS30" s="83">
        <f t="shared" si="14"/>
        <v>0</v>
      </c>
      <c r="CT30" s="83">
        <f t="shared" si="15"/>
        <v>0</v>
      </c>
      <c r="CU30" s="83">
        <f t="shared" si="16"/>
        <v>0</v>
      </c>
      <c r="CV30" s="111">
        <v>0</v>
      </c>
      <c r="CW30" s="111">
        <v>0</v>
      </c>
      <c r="CX30" s="111">
        <v>0</v>
      </c>
      <c r="CY30" s="111">
        <v>0</v>
      </c>
    </row>
    <row r="31" spans="1:103" ht="22" thickBot="1" x14ac:dyDescent="0.3">
      <c r="A31" s="154"/>
      <c r="B31" s="139"/>
      <c r="C31" s="3" t="s">
        <v>12</v>
      </c>
      <c r="D31" s="137"/>
      <c r="E31" s="137"/>
      <c r="F31" s="131"/>
      <c r="G31" s="133"/>
      <c r="H31" s="135"/>
      <c r="I31" s="135"/>
      <c r="J31" s="131"/>
      <c r="K31" s="131"/>
      <c r="L31" s="131"/>
      <c r="M31" s="131"/>
      <c r="N31" s="133"/>
      <c r="O31" s="135"/>
      <c r="P31" s="135"/>
      <c r="Q31" s="131"/>
      <c r="R31" s="131"/>
      <c r="S31" s="131"/>
      <c r="T31" s="148"/>
      <c r="U31" s="133"/>
      <c r="V31" s="135"/>
      <c r="W31" s="135"/>
      <c r="X31" s="131"/>
      <c r="Y31" s="131"/>
      <c r="Z31" s="133"/>
      <c r="AA31" s="133"/>
      <c r="AB31" s="131"/>
      <c r="AC31" s="135"/>
      <c r="AD31" s="135"/>
      <c r="AE31" s="135"/>
      <c r="AF31" s="135"/>
      <c r="AG31" s="131"/>
      <c r="AH31" s="152"/>
      <c r="AI31" s="160"/>
      <c r="AJ31" s="11"/>
      <c r="AK31" s="7"/>
      <c r="AL31" s="7"/>
      <c r="AM31" s="11"/>
      <c r="AN31" s="59"/>
      <c r="AO31" s="5"/>
      <c r="AP31" s="78"/>
      <c r="AQ31" s="127"/>
      <c r="AR31" s="5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CD31" s="83">
        <f t="shared" si="0"/>
        <v>0</v>
      </c>
      <c r="CE31" s="66">
        <f t="shared" si="1"/>
        <v>0</v>
      </c>
      <c r="CF31" s="83">
        <f t="shared" si="2"/>
        <v>0</v>
      </c>
      <c r="CG31" s="65">
        <f t="shared" si="3"/>
        <v>0</v>
      </c>
      <c r="CH31" s="83">
        <f t="shared" si="4"/>
        <v>0</v>
      </c>
      <c r="CI31" s="65">
        <f t="shared" si="5"/>
        <v>0</v>
      </c>
      <c r="CJ31" s="83">
        <f t="shared" si="6"/>
        <v>0</v>
      </c>
      <c r="CK31" s="65">
        <f t="shared" si="7"/>
        <v>0</v>
      </c>
      <c r="CL31" s="83">
        <f t="shared" si="8"/>
        <v>0</v>
      </c>
      <c r="CM31" s="83">
        <f t="shared" si="9"/>
        <v>0</v>
      </c>
      <c r="CN31" s="111">
        <f t="shared" si="10"/>
        <v>0</v>
      </c>
      <c r="CO31" s="111">
        <f t="shared" si="11"/>
        <v>0</v>
      </c>
      <c r="CP31" s="111">
        <f t="shared" si="12"/>
        <v>0</v>
      </c>
      <c r="CQ31" s="111">
        <f t="shared" si="13"/>
        <v>0</v>
      </c>
      <c r="CS31" s="83">
        <f t="shared" ca="1" si="14"/>
        <v>0</v>
      </c>
      <c r="CT31" s="83">
        <f t="shared" ca="1" si="15"/>
        <v>0</v>
      </c>
      <c r="CU31" s="83">
        <f t="shared" ca="1" si="16"/>
        <v>0</v>
      </c>
      <c r="CV31" s="111">
        <v>0</v>
      </c>
      <c r="CW31" s="111">
        <v>0</v>
      </c>
      <c r="CX31" s="111">
        <v>0</v>
      </c>
      <c r="CY31" s="111">
        <v>0</v>
      </c>
    </row>
    <row r="32" spans="1:103" ht="20" thickBot="1" x14ac:dyDescent="0.3">
      <c r="A32" s="155"/>
      <c r="B32" s="140"/>
      <c r="C32" s="92" t="s">
        <v>4</v>
      </c>
      <c r="D32" s="88"/>
      <c r="E32" s="88"/>
      <c r="F32" s="88"/>
      <c r="G32" s="89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90"/>
      <c r="AI32" s="36"/>
      <c r="AJ32" s="34"/>
      <c r="AK32" s="28"/>
      <c r="AL32" s="28"/>
      <c r="AM32" s="34"/>
      <c r="AN32" s="60"/>
      <c r="AO32" s="30"/>
      <c r="AP32" s="74"/>
      <c r="AQ32" s="127"/>
      <c r="AR32" s="5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CD32" s="83">
        <f t="shared" si="0"/>
        <v>0</v>
      </c>
      <c r="CE32" s="66">
        <f t="shared" si="1"/>
        <v>0</v>
      </c>
      <c r="CF32" s="83">
        <f t="shared" si="2"/>
        <v>0</v>
      </c>
      <c r="CG32" s="65">
        <f t="shared" si="3"/>
        <v>0</v>
      </c>
      <c r="CH32" s="83">
        <f t="shared" si="4"/>
        <v>0</v>
      </c>
      <c r="CI32" s="65">
        <f t="shared" si="5"/>
        <v>0</v>
      </c>
      <c r="CJ32" s="83">
        <f t="shared" si="6"/>
        <v>0</v>
      </c>
      <c r="CK32" s="65">
        <f t="shared" si="7"/>
        <v>0</v>
      </c>
      <c r="CL32" s="83">
        <f t="shared" si="8"/>
        <v>0</v>
      </c>
      <c r="CM32" s="83">
        <f t="shared" si="9"/>
        <v>0</v>
      </c>
      <c r="CN32" s="111">
        <f t="shared" si="10"/>
        <v>0</v>
      </c>
      <c r="CO32" s="111">
        <f t="shared" si="11"/>
        <v>0</v>
      </c>
      <c r="CP32" s="111">
        <f t="shared" si="12"/>
        <v>0</v>
      </c>
      <c r="CQ32" s="111">
        <f t="shared" si="13"/>
        <v>0</v>
      </c>
      <c r="CS32" s="83">
        <f t="shared" si="14"/>
        <v>0</v>
      </c>
      <c r="CT32" s="83">
        <f t="shared" si="15"/>
        <v>0</v>
      </c>
      <c r="CU32" s="83">
        <f t="shared" si="16"/>
        <v>0</v>
      </c>
      <c r="CV32" s="111">
        <v>0</v>
      </c>
      <c r="CW32" s="111">
        <v>0</v>
      </c>
      <c r="CX32" s="111">
        <v>0</v>
      </c>
      <c r="CY32" s="111">
        <v>0</v>
      </c>
    </row>
    <row r="33" spans="1:109" ht="20" customHeight="1" thickTop="1" thickBot="1" x14ac:dyDescent="0.3">
      <c r="A33" s="153">
        <v>9</v>
      </c>
      <c r="B33" s="138"/>
      <c r="C33" s="91" t="s">
        <v>11</v>
      </c>
      <c r="D33" s="136"/>
      <c r="E33" s="136"/>
      <c r="F33" s="130"/>
      <c r="G33" s="132"/>
      <c r="H33" s="134"/>
      <c r="I33" s="134"/>
      <c r="J33" s="130"/>
      <c r="K33" s="130"/>
      <c r="L33" s="130"/>
      <c r="M33" s="130"/>
      <c r="N33" s="132"/>
      <c r="O33" s="134"/>
      <c r="P33" s="134"/>
      <c r="Q33" s="130"/>
      <c r="R33" s="130"/>
      <c r="S33" s="130"/>
      <c r="T33" s="147"/>
      <c r="U33" s="132"/>
      <c r="V33" s="134"/>
      <c r="W33" s="134"/>
      <c r="X33" s="130"/>
      <c r="Y33" s="130"/>
      <c r="Z33" s="132"/>
      <c r="AA33" s="132"/>
      <c r="AB33" s="130"/>
      <c r="AC33" s="134"/>
      <c r="AD33" s="134"/>
      <c r="AE33" s="134"/>
      <c r="AF33" s="134"/>
      <c r="AG33" s="130"/>
      <c r="AH33" s="151"/>
      <c r="AI33" s="159">
        <f t="shared" ref="AI33" si="23">SUM(D33:AH33)</f>
        <v>0</v>
      </c>
      <c r="AJ33" s="86">
        <f>SUMIF(D35:AH35, "LL", D33:AH33) + SUMIF(D35:AH35, "LL", D34:AH34)</f>
        <v>0</v>
      </c>
      <c r="AK33" s="18"/>
      <c r="AL33" s="26"/>
      <c r="AM33" s="99">
        <f>SUMIF(D35:AH35, "CO", D33:AH33) + SUMIF(D35:AH35, "CO", D34:AH34)</f>
        <v>0</v>
      </c>
      <c r="AN33" s="61">
        <f ca="1">SUM(AI33:CA33)</f>
        <v>0</v>
      </c>
      <c r="AO33" s="27"/>
      <c r="AP33" s="77"/>
      <c r="AQ33" s="127"/>
      <c r="AR33" s="5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CD33" s="83">
        <f t="shared" si="0"/>
        <v>0</v>
      </c>
      <c r="CE33" s="66">
        <f t="shared" si="1"/>
        <v>0</v>
      </c>
      <c r="CF33" s="83">
        <f t="shared" si="2"/>
        <v>0</v>
      </c>
      <c r="CG33" s="65">
        <f t="shared" si="3"/>
        <v>0</v>
      </c>
      <c r="CH33" s="83">
        <f t="shared" si="4"/>
        <v>0</v>
      </c>
      <c r="CI33" s="65">
        <f t="shared" si="5"/>
        <v>0</v>
      </c>
      <c r="CJ33" s="83">
        <f t="shared" si="6"/>
        <v>0</v>
      </c>
      <c r="CK33" s="65">
        <f t="shared" si="7"/>
        <v>0</v>
      </c>
      <c r="CL33" s="83">
        <f t="shared" si="8"/>
        <v>0</v>
      </c>
      <c r="CM33" s="83">
        <f t="shared" si="9"/>
        <v>0</v>
      </c>
      <c r="CN33" s="111">
        <f t="shared" si="10"/>
        <v>0</v>
      </c>
      <c r="CO33" s="111">
        <f t="shared" si="11"/>
        <v>0</v>
      </c>
      <c r="CP33" s="111">
        <f t="shared" si="12"/>
        <v>0</v>
      </c>
      <c r="CQ33" s="111">
        <f t="shared" si="13"/>
        <v>0</v>
      </c>
      <c r="CS33" s="83">
        <f t="shared" si="14"/>
        <v>0</v>
      </c>
      <c r="CT33" s="83">
        <f t="shared" si="15"/>
        <v>0</v>
      </c>
      <c r="CU33" s="83">
        <f t="shared" si="16"/>
        <v>0</v>
      </c>
      <c r="CV33" s="111">
        <v>0</v>
      </c>
      <c r="CW33" s="111">
        <v>0</v>
      </c>
      <c r="CX33" s="111">
        <v>0</v>
      </c>
      <c r="CY33" s="111">
        <v>0</v>
      </c>
    </row>
    <row r="34" spans="1:109" ht="22" thickBot="1" x14ac:dyDescent="0.3">
      <c r="A34" s="154"/>
      <c r="B34" s="139"/>
      <c r="C34" s="3" t="s">
        <v>12</v>
      </c>
      <c r="D34" s="137"/>
      <c r="E34" s="137"/>
      <c r="F34" s="131"/>
      <c r="G34" s="133"/>
      <c r="H34" s="135"/>
      <c r="I34" s="135"/>
      <c r="J34" s="131"/>
      <c r="K34" s="131"/>
      <c r="L34" s="131"/>
      <c r="M34" s="131"/>
      <c r="N34" s="133"/>
      <c r="O34" s="135"/>
      <c r="P34" s="135"/>
      <c r="Q34" s="131"/>
      <c r="R34" s="131"/>
      <c r="S34" s="131"/>
      <c r="T34" s="148"/>
      <c r="U34" s="133"/>
      <c r="V34" s="135"/>
      <c r="W34" s="135"/>
      <c r="X34" s="131"/>
      <c r="Y34" s="131"/>
      <c r="Z34" s="133"/>
      <c r="AA34" s="133"/>
      <c r="AB34" s="131"/>
      <c r="AC34" s="135"/>
      <c r="AD34" s="135"/>
      <c r="AE34" s="135"/>
      <c r="AF34" s="135"/>
      <c r="AG34" s="131"/>
      <c r="AH34" s="152"/>
      <c r="AI34" s="160"/>
      <c r="AJ34" s="11"/>
      <c r="AK34" s="7"/>
      <c r="AL34" s="7"/>
      <c r="AM34" s="11"/>
      <c r="AN34" s="59"/>
      <c r="AO34" s="5"/>
      <c r="AP34" s="78"/>
      <c r="AQ34" s="127"/>
      <c r="AR34" s="5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CD34" s="83">
        <f t="shared" si="0"/>
        <v>0</v>
      </c>
      <c r="CE34" s="66">
        <f t="shared" si="1"/>
        <v>0</v>
      </c>
      <c r="CF34" s="83">
        <f t="shared" si="2"/>
        <v>0</v>
      </c>
      <c r="CG34" s="65">
        <f t="shared" si="3"/>
        <v>0</v>
      </c>
      <c r="CH34" s="83">
        <f t="shared" si="4"/>
        <v>0</v>
      </c>
      <c r="CI34" s="65">
        <f t="shared" si="5"/>
        <v>0</v>
      </c>
      <c r="CJ34" s="83">
        <f t="shared" si="6"/>
        <v>0</v>
      </c>
      <c r="CK34" s="65">
        <f t="shared" si="7"/>
        <v>0</v>
      </c>
      <c r="CL34" s="83">
        <f t="shared" si="8"/>
        <v>0</v>
      </c>
      <c r="CM34" s="83">
        <f t="shared" si="9"/>
        <v>0</v>
      </c>
      <c r="CN34" s="111">
        <f t="shared" si="10"/>
        <v>0</v>
      </c>
      <c r="CO34" s="111">
        <f t="shared" si="11"/>
        <v>0</v>
      </c>
      <c r="CP34" s="111">
        <f t="shared" si="12"/>
        <v>0</v>
      </c>
      <c r="CQ34" s="111">
        <f t="shared" si="13"/>
        <v>0</v>
      </c>
      <c r="CS34" s="83">
        <f t="shared" ca="1" si="14"/>
        <v>0</v>
      </c>
      <c r="CT34" s="83">
        <f t="shared" ca="1" si="15"/>
        <v>0</v>
      </c>
      <c r="CU34" s="83">
        <f t="shared" ca="1" si="16"/>
        <v>0</v>
      </c>
      <c r="CV34" s="111">
        <v>0</v>
      </c>
      <c r="CW34" s="111">
        <v>0</v>
      </c>
      <c r="CX34" s="111">
        <v>0</v>
      </c>
      <c r="CY34" s="111">
        <v>0</v>
      </c>
    </row>
    <row r="35" spans="1:109" ht="20" thickBot="1" x14ac:dyDescent="0.3">
      <c r="A35" s="155"/>
      <c r="B35" s="140"/>
      <c r="C35" s="92" t="s">
        <v>4</v>
      </c>
      <c r="D35" s="88"/>
      <c r="E35" s="88"/>
      <c r="F35" s="88"/>
      <c r="G35" s="89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90"/>
      <c r="AI35" s="36"/>
      <c r="AJ35" s="34"/>
      <c r="AK35" s="47"/>
      <c r="AL35" s="47"/>
      <c r="AM35" s="34"/>
      <c r="AN35" s="62"/>
      <c r="AO35" s="48"/>
      <c r="AP35" s="79"/>
      <c r="AQ35" s="128"/>
      <c r="AR35" s="5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CD35" s="83">
        <f t="shared" si="0"/>
        <v>0</v>
      </c>
      <c r="CE35" s="66">
        <f t="shared" si="1"/>
        <v>0</v>
      </c>
      <c r="CF35" s="83">
        <f t="shared" si="2"/>
        <v>0</v>
      </c>
      <c r="CG35" s="65">
        <f t="shared" si="3"/>
        <v>0</v>
      </c>
      <c r="CH35" s="83">
        <f t="shared" si="4"/>
        <v>0</v>
      </c>
      <c r="CI35" s="65">
        <f t="shared" si="5"/>
        <v>0</v>
      </c>
      <c r="CJ35" s="83">
        <f t="shared" si="6"/>
        <v>0</v>
      </c>
      <c r="CK35" s="65">
        <f t="shared" si="7"/>
        <v>0</v>
      </c>
      <c r="CL35" s="83">
        <f t="shared" si="8"/>
        <v>0</v>
      </c>
      <c r="CM35" s="83">
        <f t="shared" si="9"/>
        <v>0</v>
      </c>
      <c r="CN35" s="111">
        <f t="shared" si="10"/>
        <v>0</v>
      </c>
      <c r="CO35" s="111">
        <f t="shared" si="11"/>
        <v>0</v>
      </c>
      <c r="CP35" s="111">
        <f t="shared" si="12"/>
        <v>0</v>
      </c>
      <c r="CQ35" s="111">
        <f t="shared" si="13"/>
        <v>0</v>
      </c>
      <c r="CS35" s="83">
        <f t="shared" si="14"/>
        <v>0</v>
      </c>
      <c r="CT35" s="83">
        <f t="shared" si="15"/>
        <v>0</v>
      </c>
      <c r="CU35" s="83">
        <f t="shared" si="16"/>
        <v>0</v>
      </c>
      <c r="CV35" s="111">
        <v>0</v>
      </c>
      <c r="CW35" s="111">
        <v>0</v>
      </c>
      <c r="CX35" s="111">
        <v>0</v>
      </c>
      <c r="CY35" s="111">
        <v>0</v>
      </c>
    </row>
    <row r="36" spans="1:109" s="49" customFormat="1" ht="19" customHeight="1" thickTop="1" x14ac:dyDescent="0.25">
      <c r="A36" s="153">
        <v>10</v>
      </c>
      <c r="B36" s="138"/>
      <c r="C36" s="91" t="s">
        <v>11</v>
      </c>
      <c r="D36" s="136"/>
      <c r="E36" s="136"/>
      <c r="F36" s="130"/>
      <c r="G36" s="132"/>
      <c r="H36" s="134"/>
      <c r="I36" s="134"/>
      <c r="J36" s="130"/>
      <c r="K36" s="130"/>
      <c r="L36" s="130"/>
      <c r="M36" s="130"/>
      <c r="N36" s="132"/>
      <c r="O36" s="134"/>
      <c r="P36" s="134"/>
      <c r="Q36" s="130"/>
      <c r="R36" s="130"/>
      <c r="S36" s="130"/>
      <c r="T36" s="147"/>
      <c r="U36" s="132"/>
      <c r="V36" s="134"/>
      <c r="W36" s="134"/>
      <c r="X36" s="130"/>
      <c r="Y36" s="130"/>
      <c r="Z36" s="132"/>
      <c r="AA36" s="132"/>
      <c r="AB36" s="130"/>
      <c r="AC36" s="134"/>
      <c r="AD36" s="134"/>
      <c r="AE36" s="134"/>
      <c r="AF36" s="134"/>
      <c r="AG36" s="130"/>
      <c r="AH36" s="151"/>
      <c r="AI36" s="159">
        <f t="shared" ref="AI36" si="24">SUM(D36:AH36)</f>
        <v>0</v>
      </c>
      <c r="AJ36" s="87">
        <f>SUMIF(D38:AH38, "LL", D36:AH36) + SUMIF(D38:AH38, "LL", D37:AH37)</f>
        <v>0</v>
      </c>
      <c r="AK36" s="7"/>
      <c r="AL36" s="7"/>
      <c r="AM36" s="100">
        <f>SUMIF(D38:AH38, "CO", D36:AH36) + SUMIF(D38:AH38, "CO", D37:AH37)</f>
        <v>0</v>
      </c>
      <c r="AN36" s="59">
        <f ca="1">SUM(AI36:CA36)</f>
        <v>0</v>
      </c>
      <c r="AO36" s="5"/>
      <c r="AP36" s="73"/>
      <c r="AQ36" s="129"/>
      <c r="AR36" s="5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/>
      <c r="BP36"/>
      <c r="BQ36"/>
      <c r="BR36"/>
      <c r="BS36"/>
      <c r="BT36"/>
      <c r="BU36"/>
      <c r="BV36"/>
      <c r="BW36"/>
      <c r="BX36"/>
      <c r="BY36"/>
      <c r="BZ36"/>
      <c r="CA36"/>
      <c r="CD36" s="83">
        <f t="shared" si="0"/>
        <v>0</v>
      </c>
      <c r="CE36" s="66">
        <f t="shared" si="1"/>
        <v>0</v>
      </c>
      <c r="CF36" s="83">
        <f t="shared" si="2"/>
        <v>0</v>
      </c>
      <c r="CG36" s="65">
        <f t="shared" si="3"/>
        <v>0</v>
      </c>
      <c r="CH36" s="83">
        <f t="shared" si="4"/>
        <v>0</v>
      </c>
      <c r="CI36" s="65">
        <f t="shared" si="5"/>
        <v>0</v>
      </c>
      <c r="CJ36" s="83">
        <f t="shared" si="6"/>
        <v>0</v>
      </c>
      <c r="CK36" s="65">
        <f t="shared" si="7"/>
        <v>0</v>
      </c>
      <c r="CL36" s="83">
        <f t="shared" si="8"/>
        <v>0</v>
      </c>
      <c r="CM36" s="83">
        <f t="shared" si="9"/>
        <v>0</v>
      </c>
      <c r="CN36" s="111">
        <f t="shared" si="10"/>
        <v>0</v>
      </c>
      <c r="CO36" s="111">
        <f t="shared" si="11"/>
        <v>0</v>
      </c>
      <c r="CP36" s="111">
        <f t="shared" si="12"/>
        <v>0</v>
      </c>
      <c r="CQ36" s="111">
        <f t="shared" si="13"/>
        <v>0</v>
      </c>
      <c r="CR36"/>
      <c r="CS36" s="83">
        <f t="shared" si="14"/>
        <v>0</v>
      </c>
      <c r="CT36" s="83">
        <f t="shared" si="15"/>
        <v>0</v>
      </c>
      <c r="CU36" s="83">
        <f t="shared" si="16"/>
        <v>0</v>
      </c>
      <c r="CV36" s="111">
        <v>0</v>
      </c>
      <c r="CW36" s="111">
        <v>0</v>
      </c>
      <c r="CX36" s="111">
        <v>0</v>
      </c>
      <c r="CY36" s="111">
        <v>0</v>
      </c>
      <c r="CZ36"/>
      <c r="DA36"/>
      <c r="DB36"/>
      <c r="DC36"/>
      <c r="DD36"/>
      <c r="DE36"/>
    </row>
    <row r="37" spans="1:109" s="49" customFormat="1" ht="21" x14ac:dyDescent="0.25">
      <c r="A37" s="154"/>
      <c r="B37" s="139"/>
      <c r="C37" s="3" t="s">
        <v>12</v>
      </c>
      <c r="D37" s="137"/>
      <c r="E37" s="137"/>
      <c r="F37" s="131"/>
      <c r="G37" s="133"/>
      <c r="H37" s="135"/>
      <c r="I37" s="135"/>
      <c r="J37" s="131"/>
      <c r="K37" s="131"/>
      <c r="L37" s="131"/>
      <c r="M37" s="131"/>
      <c r="N37" s="133"/>
      <c r="O37" s="135"/>
      <c r="P37" s="135"/>
      <c r="Q37" s="131"/>
      <c r="R37" s="131"/>
      <c r="S37" s="131"/>
      <c r="T37" s="148"/>
      <c r="U37" s="133"/>
      <c r="V37" s="135"/>
      <c r="W37" s="135"/>
      <c r="X37" s="131"/>
      <c r="Y37" s="131"/>
      <c r="Z37" s="133"/>
      <c r="AA37" s="133"/>
      <c r="AB37" s="131"/>
      <c r="AC37" s="135"/>
      <c r="AD37" s="135"/>
      <c r="AE37" s="135"/>
      <c r="AF37" s="135"/>
      <c r="AG37" s="131"/>
      <c r="AH37" s="152"/>
      <c r="AI37" s="160"/>
      <c r="AJ37" s="11"/>
      <c r="AK37" s="7"/>
      <c r="AL37" s="7"/>
      <c r="AM37" s="11"/>
      <c r="AN37" s="59"/>
      <c r="AO37" s="5"/>
      <c r="AP37" s="78"/>
      <c r="AQ37" s="129"/>
      <c r="AR37" s="5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/>
      <c r="BP37"/>
      <c r="BQ37"/>
      <c r="BR37"/>
      <c r="BS37"/>
      <c r="BT37"/>
      <c r="BU37"/>
      <c r="BV37"/>
      <c r="BW37"/>
      <c r="BX37"/>
      <c r="BY37"/>
      <c r="BZ37"/>
      <c r="CA37"/>
      <c r="CD37" s="83">
        <f t="shared" si="0"/>
        <v>0</v>
      </c>
      <c r="CE37" s="66">
        <f t="shared" si="1"/>
        <v>0</v>
      </c>
      <c r="CF37" s="83">
        <f t="shared" si="2"/>
        <v>0</v>
      </c>
      <c r="CG37" s="65">
        <f t="shared" si="3"/>
        <v>0</v>
      </c>
      <c r="CH37" s="83">
        <f t="shared" si="4"/>
        <v>0</v>
      </c>
      <c r="CI37" s="65">
        <f t="shared" si="5"/>
        <v>0</v>
      </c>
      <c r="CJ37" s="83">
        <f t="shared" si="6"/>
        <v>0</v>
      </c>
      <c r="CK37" s="65">
        <f t="shared" si="7"/>
        <v>0</v>
      </c>
      <c r="CL37" s="83">
        <f t="shared" si="8"/>
        <v>0</v>
      </c>
      <c r="CM37" s="83">
        <f t="shared" si="9"/>
        <v>0</v>
      </c>
      <c r="CN37" s="111">
        <f t="shared" si="10"/>
        <v>0</v>
      </c>
      <c r="CO37" s="111">
        <f t="shared" si="11"/>
        <v>0</v>
      </c>
      <c r="CP37" s="111">
        <f t="shared" si="12"/>
        <v>0</v>
      </c>
      <c r="CQ37" s="111">
        <f t="shared" si="13"/>
        <v>0</v>
      </c>
      <c r="CR37"/>
      <c r="CS37" s="83">
        <f t="shared" ca="1" si="14"/>
        <v>0</v>
      </c>
      <c r="CT37" s="83">
        <f t="shared" ca="1" si="15"/>
        <v>0</v>
      </c>
      <c r="CU37" s="83">
        <f t="shared" ca="1" si="16"/>
        <v>0</v>
      </c>
      <c r="CV37" s="111">
        <v>0</v>
      </c>
      <c r="CW37" s="111">
        <v>0</v>
      </c>
      <c r="CX37" s="111">
        <v>0</v>
      </c>
      <c r="CY37" s="111">
        <v>0</v>
      </c>
      <c r="CZ37"/>
      <c r="DA37"/>
      <c r="DB37"/>
      <c r="DC37"/>
      <c r="DD37"/>
      <c r="DE37"/>
    </row>
    <row r="38" spans="1:109" s="49" customFormat="1" ht="22" thickBot="1" x14ac:dyDescent="0.3">
      <c r="A38" s="155"/>
      <c r="B38" s="140"/>
      <c r="C38" s="92" t="s">
        <v>4</v>
      </c>
      <c r="D38" s="88"/>
      <c r="E38" s="88"/>
      <c r="F38" s="88"/>
      <c r="G38" s="89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90"/>
      <c r="AI38" s="36"/>
      <c r="AJ38" s="34"/>
      <c r="AK38" s="7"/>
      <c r="AL38" s="7"/>
      <c r="AM38" s="34"/>
      <c r="AN38" s="59"/>
      <c r="AO38" s="5"/>
      <c r="AP38" s="78"/>
      <c r="AQ38" s="129"/>
      <c r="AR38" s="5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/>
      <c r="BP38"/>
      <c r="BQ38"/>
      <c r="BR38"/>
      <c r="BS38"/>
      <c r="BT38"/>
      <c r="BU38"/>
      <c r="BV38"/>
      <c r="BW38"/>
      <c r="BX38"/>
      <c r="BY38"/>
      <c r="BZ38"/>
      <c r="CA38"/>
      <c r="CD38" s="83">
        <f t="shared" si="0"/>
        <v>0</v>
      </c>
      <c r="CE38" s="66">
        <f t="shared" si="1"/>
        <v>0</v>
      </c>
      <c r="CF38" s="83">
        <f t="shared" si="2"/>
        <v>0</v>
      </c>
      <c r="CG38" s="65">
        <f t="shared" si="3"/>
        <v>0</v>
      </c>
      <c r="CH38" s="83">
        <f t="shared" si="4"/>
        <v>0</v>
      </c>
      <c r="CI38" s="65">
        <f t="shared" si="5"/>
        <v>0</v>
      </c>
      <c r="CJ38" s="83">
        <f t="shared" si="6"/>
        <v>0</v>
      </c>
      <c r="CK38" s="65">
        <f t="shared" si="7"/>
        <v>0</v>
      </c>
      <c r="CL38" s="83">
        <f t="shared" si="8"/>
        <v>0</v>
      </c>
      <c r="CM38" s="83">
        <f t="shared" si="9"/>
        <v>0</v>
      </c>
      <c r="CN38" s="111">
        <f t="shared" si="10"/>
        <v>0</v>
      </c>
      <c r="CO38" s="111">
        <f t="shared" si="11"/>
        <v>0</v>
      </c>
      <c r="CP38" s="111">
        <f t="shared" si="12"/>
        <v>0</v>
      </c>
      <c r="CQ38" s="111">
        <f t="shared" si="13"/>
        <v>0</v>
      </c>
      <c r="CR38"/>
      <c r="CS38" s="83">
        <f t="shared" si="14"/>
        <v>0</v>
      </c>
      <c r="CT38" s="83">
        <f t="shared" si="15"/>
        <v>0</v>
      </c>
      <c r="CU38" s="83">
        <f t="shared" si="16"/>
        <v>0</v>
      </c>
      <c r="CV38" s="111">
        <v>0</v>
      </c>
      <c r="CW38" s="111">
        <v>0</v>
      </c>
      <c r="CX38" s="111">
        <v>0</v>
      </c>
      <c r="CY38" s="111">
        <v>0</v>
      </c>
      <c r="CZ38"/>
      <c r="DA38"/>
      <c r="DB38"/>
      <c r="DC38"/>
      <c r="DD38"/>
      <c r="DE38"/>
    </row>
    <row r="39" spans="1:109" s="49" customFormat="1" ht="19" customHeight="1" thickTop="1" x14ac:dyDescent="0.25">
      <c r="A39" s="153">
        <v>11</v>
      </c>
      <c r="B39" s="138"/>
      <c r="C39" s="91" t="s">
        <v>11</v>
      </c>
      <c r="D39" s="136"/>
      <c r="E39" s="136"/>
      <c r="F39" s="130"/>
      <c r="G39" s="132"/>
      <c r="H39" s="134"/>
      <c r="I39" s="134"/>
      <c r="J39" s="130"/>
      <c r="K39" s="130"/>
      <c r="L39" s="130"/>
      <c r="M39" s="130"/>
      <c r="N39" s="132"/>
      <c r="O39" s="134"/>
      <c r="P39" s="134"/>
      <c r="Q39" s="130"/>
      <c r="R39" s="130"/>
      <c r="S39" s="130"/>
      <c r="T39" s="147"/>
      <c r="U39" s="132"/>
      <c r="V39" s="134"/>
      <c r="W39" s="134"/>
      <c r="X39" s="130"/>
      <c r="Y39" s="130"/>
      <c r="Z39" s="132"/>
      <c r="AA39" s="132"/>
      <c r="AB39" s="130"/>
      <c r="AC39" s="134"/>
      <c r="AD39" s="134"/>
      <c r="AE39" s="134"/>
      <c r="AF39" s="134"/>
      <c r="AG39" s="130"/>
      <c r="AH39" s="151"/>
      <c r="AI39" s="159">
        <f t="shared" ref="AI39" si="25">SUM(D39:AH39)</f>
        <v>0</v>
      </c>
      <c r="AJ39" s="86">
        <f>SUMIF(D41:AH41, "LL", D39:AH39) + SUMIF(D41:AH41, "LL", D40:AH40)</f>
        <v>0</v>
      </c>
      <c r="AK39" s="7"/>
      <c r="AL39" s="7"/>
      <c r="AM39" s="99">
        <f>SUMIF(D41:AH41, "CO", D39:AH39) + SUMIF(D41:AH41, "CO", D40:AH40)</f>
        <v>0</v>
      </c>
      <c r="AN39" s="59">
        <f ca="1">SUM(AI39:CA39)</f>
        <v>0</v>
      </c>
      <c r="AO39" s="5"/>
      <c r="AP39" s="73"/>
      <c r="AQ39" s="129"/>
      <c r="AR39" s="5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/>
      <c r="BP39"/>
      <c r="BQ39"/>
      <c r="BR39"/>
      <c r="BS39"/>
      <c r="BT39"/>
      <c r="BU39"/>
      <c r="BV39"/>
      <c r="BW39"/>
      <c r="BX39"/>
      <c r="BY39"/>
      <c r="BZ39"/>
      <c r="CA39"/>
      <c r="CD39" s="83">
        <f t="shared" si="0"/>
        <v>0</v>
      </c>
      <c r="CE39" s="66">
        <f t="shared" si="1"/>
        <v>0</v>
      </c>
      <c r="CF39" s="83">
        <f t="shared" si="2"/>
        <v>0</v>
      </c>
      <c r="CG39" s="65">
        <f t="shared" si="3"/>
        <v>0</v>
      </c>
      <c r="CH39" s="83">
        <f t="shared" si="4"/>
        <v>0</v>
      </c>
      <c r="CI39" s="65">
        <f t="shared" si="5"/>
        <v>0</v>
      </c>
      <c r="CJ39" s="83">
        <f t="shared" si="6"/>
        <v>0</v>
      </c>
      <c r="CK39" s="65">
        <f t="shared" si="7"/>
        <v>0</v>
      </c>
      <c r="CL39" s="83">
        <f t="shared" si="8"/>
        <v>0</v>
      </c>
      <c r="CM39" s="83">
        <f t="shared" si="9"/>
        <v>0</v>
      </c>
      <c r="CN39" s="111">
        <f t="shared" si="10"/>
        <v>0</v>
      </c>
      <c r="CO39" s="111">
        <f t="shared" si="11"/>
        <v>0</v>
      </c>
      <c r="CP39" s="111">
        <f t="shared" si="12"/>
        <v>0</v>
      </c>
      <c r="CQ39" s="111">
        <f t="shared" si="13"/>
        <v>0</v>
      </c>
      <c r="CR39"/>
      <c r="CS39" s="83">
        <f t="shared" si="14"/>
        <v>0</v>
      </c>
      <c r="CT39" s="83">
        <f t="shared" si="15"/>
        <v>0</v>
      </c>
      <c r="CU39" s="83">
        <f t="shared" si="16"/>
        <v>0</v>
      </c>
      <c r="CV39" s="111">
        <v>0</v>
      </c>
      <c r="CW39" s="111">
        <v>0</v>
      </c>
      <c r="CX39" s="111">
        <v>0</v>
      </c>
      <c r="CY39" s="111">
        <v>0</v>
      </c>
      <c r="CZ39"/>
      <c r="DA39"/>
      <c r="DB39"/>
      <c r="DC39"/>
      <c r="DD39"/>
      <c r="DE39"/>
    </row>
    <row r="40" spans="1:109" s="49" customFormat="1" ht="21" x14ac:dyDescent="0.25">
      <c r="A40" s="154"/>
      <c r="B40" s="139"/>
      <c r="C40" s="3" t="s">
        <v>12</v>
      </c>
      <c r="D40" s="137"/>
      <c r="E40" s="137"/>
      <c r="F40" s="131"/>
      <c r="G40" s="133"/>
      <c r="H40" s="135"/>
      <c r="I40" s="135"/>
      <c r="J40" s="131"/>
      <c r="K40" s="131"/>
      <c r="L40" s="131"/>
      <c r="M40" s="131"/>
      <c r="N40" s="133"/>
      <c r="O40" s="135"/>
      <c r="P40" s="135"/>
      <c r="Q40" s="131"/>
      <c r="R40" s="131"/>
      <c r="S40" s="131"/>
      <c r="T40" s="148"/>
      <c r="U40" s="133"/>
      <c r="V40" s="135"/>
      <c r="W40" s="135"/>
      <c r="X40" s="131"/>
      <c r="Y40" s="131"/>
      <c r="Z40" s="133"/>
      <c r="AA40" s="133"/>
      <c r="AB40" s="131"/>
      <c r="AC40" s="135"/>
      <c r="AD40" s="135"/>
      <c r="AE40" s="135"/>
      <c r="AF40" s="135"/>
      <c r="AG40" s="131"/>
      <c r="AH40" s="152"/>
      <c r="AI40" s="160"/>
      <c r="AJ40" s="11"/>
      <c r="AK40" s="7"/>
      <c r="AL40" s="7"/>
      <c r="AM40" s="11"/>
      <c r="AN40" s="59"/>
      <c r="AO40" s="5"/>
      <c r="AP40" s="78"/>
      <c r="AQ40" s="129"/>
      <c r="AR40" s="5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114"/>
      <c r="BK40" s="114"/>
      <c r="BL40" s="114"/>
      <c r="BM40" s="114"/>
      <c r="BN40" s="114"/>
      <c r="BO40"/>
      <c r="BP40"/>
      <c r="BQ40"/>
      <c r="BR40"/>
      <c r="BS40"/>
      <c r="BT40"/>
      <c r="BU40"/>
      <c r="BV40"/>
      <c r="BW40"/>
      <c r="BX40"/>
      <c r="BY40"/>
      <c r="BZ40"/>
      <c r="CA40"/>
      <c r="CD40" s="83">
        <f t="shared" si="0"/>
        <v>0</v>
      </c>
      <c r="CE40" s="66">
        <f t="shared" si="1"/>
        <v>0</v>
      </c>
      <c r="CF40" s="83">
        <f t="shared" si="2"/>
        <v>0</v>
      </c>
      <c r="CG40" s="65">
        <f t="shared" si="3"/>
        <v>0</v>
      </c>
      <c r="CH40" s="83">
        <f t="shared" si="4"/>
        <v>0</v>
      </c>
      <c r="CI40" s="65">
        <f t="shared" si="5"/>
        <v>0</v>
      </c>
      <c r="CJ40" s="83">
        <f t="shared" si="6"/>
        <v>0</v>
      </c>
      <c r="CK40" s="65">
        <f t="shared" si="7"/>
        <v>0</v>
      </c>
      <c r="CL40" s="83">
        <f t="shared" si="8"/>
        <v>0</v>
      </c>
      <c r="CM40" s="83">
        <f t="shared" si="9"/>
        <v>0</v>
      </c>
      <c r="CN40" s="111">
        <f t="shared" si="10"/>
        <v>0</v>
      </c>
      <c r="CO40" s="111">
        <f t="shared" si="11"/>
        <v>0</v>
      </c>
      <c r="CP40" s="111">
        <f t="shared" si="12"/>
        <v>0</v>
      </c>
      <c r="CQ40" s="111">
        <f t="shared" si="13"/>
        <v>0</v>
      </c>
      <c r="CR40"/>
      <c r="CS40" s="83">
        <f t="shared" ca="1" si="14"/>
        <v>0</v>
      </c>
      <c r="CT40" s="83">
        <f t="shared" ca="1" si="15"/>
        <v>0</v>
      </c>
      <c r="CU40" s="83">
        <f t="shared" ca="1" si="16"/>
        <v>0</v>
      </c>
      <c r="CV40" s="111">
        <v>0</v>
      </c>
      <c r="CW40" s="111">
        <v>0</v>
      </c>
      <c r="CX40" s="111">
        <v>0</v>
      </c>
      <c r="CY40" s="111">
        <v>0</v>
      </c>
      <c r="CZ40"/>
      <c r="DA40"/>
      <c r="DB40"/>
      <c r="DC40"/>
      <c r="DD40"/>
      <c r="DE40"/>
    </row>
    <row r="41" spans="1:109" s="49" customFormat="1" ht="22" thickBot="1" x14ac:dyDescent="0.3">
      <c r="A41" s="155"/>
      <c r="B41" s="140"/>
      <c r="C41" s="92" t="s">
        <v>4</v>
      </c>
      <c r="D41" s="88"/>
      <c r="E41" s="88"/>
      <c r="F41" s="88"/>
      <c r="G41" s="89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90"/>
      <c r="AI41" s="36"/>
      <c r="AJ41" s="34"/>
      <c r="AK41" s="7"/>
      <c r="AL41" s="7"/>
      <c r="AM41" s="34"/>
      <c r="AN41" s="59"/>
      <c r="AO41" s="5"/>
      <c r="AP41" s="78"/>
      <c r="AQ41" s="129"/>
      <c r="AR41" s="5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/>
      <c r="BP41"/>
      <c r="BQ41"/>
      <c r="BR41"/>
      <c r="BS41"/>
      <c r="BT41"/>
      <c r="BU41"/>
      <c r="BV41"/>
      <c r="BW41"/>
      <c r="BX41"/>
      <c r="BY41"/>
      <c r="BZ41"/>
      <c r="CA41"/>
      <c r="CD41" s="83">
        <f t="shared" ref="CD41:CD72" si="26">SUMIF(D43:AH43,"T",D41:AH41)</f>
        <v>0</v>
      </c>
      <c r="CE41" s="66">
        <f t="shared" ref="CE41:CE72" si="27">AP41*CD41</f>
        <v>0</v>
      </c>
      <c r="CF41" s="83">
        <f t="shared" ref="CF41:CF72" si="28">SUMIF(D43:AH43,"VS",D41:AH41)</f>
        <v>0</v>
      </c>
      <c r="CG41" s="65">
        <f t="shared" ref="CG41:CG72" si="29">AP41*CF41</f>
        <v>0</v>
      </c>
      <c r="CH41" s="83">
        <f t="shared" ref="CH41:CH72" si="30">SUMIF(D43:AH43,"Sb",D41:AH41)</f>
        <v>0</v>
      </c>
      <c r="CI41" s="65">
        <f t="shared" ref="CI41:CI72" si="31">AP41*CH41</f>
        <v>0</v>
      </c>
      <c r="CJ41" s="83">
        <f t="shared" ref="CJ41:CJ72" si="32">SUMIF(D43:AH43,"VB",D41:AH41)</f>
        <v>0</v>
      </c>
      <c r="CK41" s="65">
        <f t="shared" ref="CK41:CK72" si="33">AP41*CJ41</f>
        <v>0</v>
      </c>
      <c r="CL41" s="83">
        <f t="shared" ref="CL41:CL72" si="34">SUMIF(D43:AH43,"VCC",D41:AH41)</f>
        <v>0</v>
      </c>
      <c r="CM41" s="83">
        <f t="shared" ref="CM41:CM72" si="35">AP41*CL41</f>
        <v>0</v>
      </c>
      <c r="CN41" s="111">
        <f t="shared" ref="CN41:CN72" si="36">SUMIF(D43:AH43,"VB3",D41:AH41)</f>
        <v>0</v>
      </c>
      <c r="CO41" s="111">
        <f t="shared" ref="CO41:CO72" si="37">AP41*CN41</f>
        <v>0</v>
      </c>
      <c r="CP41" s="111">
        <f t="shared" ref="CP41:CP72" si="38">SUMIF(D43:AH43,"VB14",D41:AH41)</f>
        <v>0</v>
      </c>
      <c r="CQ41" s="111">
        <f t="shared" ref="CQ41:CQ72" si="39">AP41*CP41</f>
        <v>0</v>
      </c>
      <c r="CR41"/>
      <c r="CS41" s="83">
        <f t="shared" si="14"/>
        <v>0</v>
      </c>
      <c r="CT41" s="83">
        <f t="shared" si="15"/>
        <v>0</v>
      </c>
      <c r="CU41" s="83">
        <f t="shared" si="16"/>
        <v>0</v>
      </c>
      <c r="CV41" s="111">
        <v>0</v>
      </c>
      <c r="CW41" s="111">
        <v>0</v>
      </c>
      <c r="CX41" s="111">
        <v>0</v>
      </c>
      <c r="CY41" s="111">
        <v>0</v>
      </c>
      <c r="CZ41"/>
      <c r="DA41"/>
      <c r="DB41"/>
      <c r="DC41"/>
      <c r="DD41"/>
      <c r="DE41"/>
    </row>
    <row r="42" spans="1:109" s="49" customFormat="1" ht="19" customHeight="1" thickTop="1" x14ac:dyDescent="0.25">
      <c r="A42" s="153">
        <v>12</v>
      </c>
      <c r="B42" s="138"/>
      <c r="C42" s="91" t="s">
        <v>11</v>
      </c>
      <c r="D42" s="136"/>
      <c r="E42" s="136"/>
      <c r="F42" s="130"/>
      <c r="G42" s="132"/>
      <c r="H42" s="134"/>
      <c r="I42" s="134"/>
      <c r="J42" s="130"/>
      <c r="K42" s="130"/>
      <c r="L42" s="130"/>
      <c r="M42" s="130"/>
      <c r="N42" s="132"/>
      <c r="O42" s="134"/>
      <c r="P42" s="134"/>
      <c r="Q42" s="130"/>
      <c r="R42" s="130"/>
      <c r="S42" s="130"/>
      <c r="T42" s="147"/>
      <c r="U42" s="132"/>
      <c r="V42" s="134"/>
      <c r="W42" s="134"/>
      <c r="X42" s="130"/>
      <c r="Y42" s="130"/>
      <c r="Z42" s="132"/>
      <c r="AA42" s="132"/>
      <c r="AB42" s="130"/>
      <c r="AC42" s="134"/>
      <c r="AD42" s="134"/>
      <c r="AE42" s="134"/>
      <c r="AF42" s="134"/>
      <c r="AG42" s="130"/>
      <c r="AH42" s="151"/>
      <c r="AI42" s="159">
        <f t="shared" ref="AI42" si="40">SUM(D42:AH42)</f>
        <v>0</v>
      </c>
      <c r="AJ42" s="87">
        <f>SUMIF(D44:AH44, "LL", D42:AH42) + SUMIF(D44:AH44, "LL", D43:AH43)</f>
        <v>0</v>
      </c>
      <c r="AK42" s="7"/>
      <c r="AL42" s="7"/>
      <c r="AM42" s="100">
        <f>SUMIF(D44:AH44, "CO", D42:AH42) + SUMIF(D44:AH44, "CO", D43:AH43)</f>
        <v>0</v>
      </c>
      <c r="AN42" s="59">
        <f ca="1">SUM(AI42:CA42)</f>
        <v>0</v>
      </c>
      <c r="AO42" s="5"/>
      <c r="AP42" s="73"/>
      <c r="AQ42" s="129"/>
      <c r="AR42" s="5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/>
      <c r="BP42"/>
      <c r="BQ42"/>
      <c r="BR42"/>
      <c r="BS42"/>
      <c r="BT42"/>
      <c r="BU42"/>
      <c r="BV42"/>
      <c r="BW42"/>
      <c r="BX42"/>
      <c r="BY42"/>
      <c r="BZ42"/>
      <c r="CA42"/>
      <c r="CD42" s="83">
        <f t="shared" si="26"/>
        <v>0</v>
      </c>
      <c r="CE42" s="66">
        <f t="shared" si="27"/>
        <v>0</v>
      </c>
      <c r="CF42" s="83">
        <f t="shared" si="28"/>
        <v>0</v>
      </c>
      <c r="CG42" s="65">
        <f t="shared" si="29"/>
        <v>0</v>
      </c>
      <c r="CH42" s="83">
        <f t="shared" si="30"/>
        <v>0</v>
      </c>
      <c r="CI42" s="65">
        <f t="shared" si="31"/>
        <v>0</v>
      </c>
      <c r="CJ42" s="83">
        <f t="shared" si="32"/>
        <v>0</v>
      </c>
      <c r="CK42" s="65">
        <f t="shared" si="33"/>
        <v>0</v>
      </c>
      <c r="CL42" s="83">
        <f t="shared" si="34"/>
        <v>0</v>
      </c>
      <c r="CM42" s="83">
        <f t="shared" si="35"/>
        <v>0</v>
      </c>
      <c r="CN42" s="111">
        <f t="shared" si="36"/>
        <v>0</v>
      </c>
      <c r="CO42" s="111">
        <f t="shared" si="37"/>
        <v>0</v>
      </c>
      <c r="CP42" s="111">
        <f t="shared" si="38"/>
        <v>0</v>
      </c>
      <c r="CQ42" s="111">
        <f t="shared" si="39"/>
        <v>0</v>
      </c>
      <c r="CR42"/>
      <c r="CS42" s="83">
        <f t="shared" ref="CS42:CS73" si="41">SUMIF(K44:AO44, "T", K42:AO42) + SUMIF(K44:AO44, "T", K43:AO43)</f>
        <v>0</v>
      </c>
      <c r="CT42" s="83">
        <f t="shared" ref="CT42:CT73" si="42">SUMIF(L44:AP44, "T", L42:AP42) + SUMIF(L44:AP44, "T", L43:AP43)</f>
        <v>0</v>
      </c>
      <c r="CU42" s="83">
        <f t="shared" ref="CU42:CU73" si="43">SUMIF(M44:AQ44, "T", M42:AQ42) + SUMIF(M44:AQ44, "T", M43:AQ43)</f>
        <v>0</v>
      </c>
      <c r="CV42" s="111">
        <v>0</v>
      </c>
      <c r="CW42" s="111">
        <v>0</v>
      </c>
      <c r="CX42" s="111">
        <v>0</v>
      </c>
      <c r="CY42" s="111">
        <v>0</v>
      </c>
      <c r="CZ42"/>
      <c r="DA42"/>
      <c r="DB42"/>
      <c r="DC42"/>
      <c r="DD42"/>
      <c r="DE42"/>
    </row>
    <row r="43" spans="1:109" s="49" customFormat="1" ht="21" x14ac:dyDescent="0.25">
      <c r="A43" s="154"/>
      <c r="B43" s="139"/>
      <c r="C43" s="3" t="s">
        <v>12</v>
      </c>
      <c r="D43" s="137"/>
      <c r="E43" s="137"/>
      <c r="F43" s="131"/>
      <c r="G43" s="133"/>
      <c r="H43" s="135"/>
      <c r="I43" s="135"/>
      <c r="J43" s="131"/>
      <c r="K43" s="131"/>
      <c r="L43" s="131"/>
      <c r="M43" s="131"/>
      <c r="N43" s="133"/>
      <c r="O43" s="135"/>
      <c r="P43" s="135"/>
      <c r="Q43" s="131"/>
      <c r="R43" s="131"/>
      <c r="S43" s="131"/>
      <c r="T43" s="148"/>
      <c r="U43" s="133"/>
      <c r="V43" s="135"/>
      <c r="W43" s="135"/>
      <c r="X43" s="131"/>
      <c r="Y43" s="131"/>
      <c r="Z43" s="133"/>
      <c r="AA43" s="133"/>
      <c r="AB43" s="131"/>
      <c r="AC43" s="135"/>
      <c r="AD43" s="135"/>
      <c r="AE43" s="135"/>
      <c r="AF43" s="135"/>
      <c r="AG43" s="131"/>
      <c r="AH43" s="152"/>
      <c r="AI43" s="160"/>
      <c r="AJ43" s="11"/>
      <c r="AK43" s="7"/>
      <c r="AL43" s="7"/>
      <c r="AM43" s="11"/>
      <c r="AN43" s="59"/>
      <c r="AO43" s="5"/>
      <c r="AP43" s="78"/>
      <c r="AQ43" s="129"/>
      <c r="AR43" s="5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/>
      <c r="BP43"/>
      <c r="BQ43"/>
      <c r="BR43"/>
      <c r="BS43"/>
      <c r="BT43"/>
      <c r="BU43"/>
      <c r="BV43"/>
      <c r="BW43"/>
      <c r="BX43"/>
      <c r="BY43"/>
      <c r="BZ43"/>
      <c r="CA43"/>
      <c r="CD43" s="83">
        <f t="shared" si="26"/>
        <v>0</v>
      </c>
      <c r="CE43" s="66">
        <f t="shared" si="27"/>
        <v>0</v>
      </c>
      <c r="CF43" s="83">
        <f t="shared" si="28"/>
        <v>0</v>
      </c>
      <c r="CG43" s="65">
        <f t="shared" si="29"/>
        <v>0</v>
      </c>
      <c r="CH43" s="83">
        <f t="shared" si="30"/>
        <v>0</v>
      </c>
      <c r="CI43" s="65">
        <f t="shared" si="31"/>
        <v>0</v>
      </c>
      <c r="CJ43" s="83">
        <f t="shared" si="32"/>
        <v>0</v>
      </c>
      <c r="CK43" s="65">
        <f t="shared" si="33"/>
        <v>0</v>
      </c>
      <c r="CL43" s="83">
        <f t="shared" si="34"/>
        <v>0</v>
      </c>
      <c r="CM43" s="83">
        <f t="shared" si="35"/>
        <v>0</v>
      </c>
      <c r="CN43" s="111">
        <f t="shared" si="36"/>
        <v>0</v>
      </c>
      <c r="CO43" s="111">
        <f t="shared" si="37"/>
        <v>0</v>
      </c>
      <c r="CP43" s="111">
        <f t="shared" si="38"/>
        <v>0</v>
      </c>
      <c r="CQ43" s="111">
        <f t="shared" si="39"/>
        <v>0</v>
      </c>
      <c r="CR43"/>
      <c r="CS43" s="83">
        <f t="shared" ca="1" si="41"/>
        <v>0</v>
      </c>
      <c r="CT43" s="83">
        <f t="shared" ca="1" si="42"/>
        <v>0</v>
      </c>
      <c r="CU43" s="83">
        <f t="shared" ca="1" si="43"/>
        <v>0</v>
      </c>
      <c r="CV43" s="111">
        <v>0</v>
      </c>
      <c r="CW43" s="111">
        <v>0</v>
      </c>
      <c r="CX43" s="111">
        <v>0</v>
      </c>
      <c r="CY43" s="111">
        <v>0</v>
      </c>
      <c r="CZ43"/>
      <c r="DA43"/>
      <c r="DB43"/>
      <c r="DC43"/>
      <c r="DD43"/>
      <c r="DE43"/>
    </row>
    <row r="44" spans="1:109" s="49" customFormat="1" ht="22" thickBot="1" x14ac:dyDescent="0.3">
      <c r="A44" s="155"/>
      <c r="B44" s="140"/>
      <c r="C44" s="92" t="s">
        <v>4</v>
      </c>
      <c r="D44" s="88"/>
      <c r="E44" s="88"/>
      <c r="F44" s="88"/>
      <c r="G44" s="89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90"/>
      <c r="AI44" s="36"/>
      <c r="AJ44" s="34"/>
      <c r="AK44" s="7"/>
      <c r="AL44" s="7"/>
      <c r="AM44" s="34"/>
      <c r="AN44" s="59"/>
      <c r="AO44" s="5"/>
      <c r="AP44" s="78"/>
      <c r="AQ44" s="129"/>
      <c r="AR44" s="5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114"/>
      <c r="BK44" s="114"/>
      <c r="BL44" s="114"/>
      <c r="BM44" s="114"/>
      <c r="BN44" s="114"/>
      <c r="BO44"/>
      <c r="BP44"/>
      <c r="BQ44"/>
      <c r="BR44"/>
      <c r="BS44"/>
      <c r="BT44"/>
      <c r="BU44"/>
      <c r="BV44"/>
      <c r="BW44"/>
      <c r="BX44"/>
      <c r="BY44"/>
      <c r="BZ44"/>
      <c r="CA44"/>
      <c r="CD44" s="83">
        <f t="shared" si="26"/>
        <v>0</v>
      </c>
      <c r="CE44" s="66">
        <f t="shared" si="27"/>
        <v>0</v>
      </c>
      <c r="CF44" s="83">
        <f t="shared" si="28"/>
        <v>0</v>
      </c>
      <c r="CG44" s="65">
        <f t="shared" si="29"/>
        <v>0</v>
      </c>
      <c r="CH44" s="83">
        <f t="shared" si="30"/>
        <v>0</v>
      </c>
      <c r="CI44" s="65">
        <f t="shared" si="31"/>
        <v>0</v>
      </c>
      <c r="CJ44" s="83">
        <f t="shared" si="32"/>
        <v>0</v>
      </c>
      <c r="CK44" s="65">
        <f t="shared" si="33"/>
        <v>0</v>
      </c>
      <c r="CL44" s="83">
        <f t="shared" si="34"/>
        <v>0</v>
      </c>
      <c r="CM44" s="83">
        <f t="shared" si="35"/>
        <v>0</v>
      </c>
      <c r="CN44" s="111">
        <f t="shared" si="36"/>
        <v>0</v>
      </c>
      <c r="CO44" s="111">
        <f t="shared" si="37"/>
        <v>0</v>
      </c>
      <c r="CP44" s="111">
        <f t="shared" si="38"/>
        <v>0</v>
      </c>
      <c r="CQ44" s="111">
        <f t="shared" si="39"/>
        <v>0</v>
      </c>
      <c r="CR44"/>
      <c r="CS44" s="83">
        <f t="shared" si="41"/>
        <v>0</v>
      </c>
      <c r="CT44" s="83">
        <f t="shared" si="42"/>
        <v>0</v>
      </c>
      <c r="CU44" s="83">
        <f t="shared" si="43"/>
        <v>0</v>
      </c>
      <c r="CV44" s="111">
        <v>0</v>
      </c>
      <c r="CW44" s="111">
        <v>0</v>
      </c>
      <c r="CX44" s="111">
        <v>0</v>
      </c>
      <c r="CY44" s="111">
        <v>0</v>
      </c>
      <c r="CZ44"/>
      <c r="DA44"/>
      <c r="DB44"/>
      <c r="DC44"/>
      <c r="DD44"/>
      <c r="DE44"/>
    </row>
    <row r="45" spans="1:109" s="49" customFormat="1" ht="19" customHeight="1" thickTop="1" x14ac:dyDescent="0.25">
      <c r="A45" s="153">
        <v>13</v>
      </c>
      <c r="B45" s="138"/>
      <c r="C45" s="91" t="s">
        <v>11</v>
      </c>
      <c r="D45" s="136"/>
      <c r="E45" s="136"/>
      <c r="F45" s="130"/>
      <c r="G45" s="132"/>
      <c r="H45" s="134"/>
      <c r="I45" s="134"/>
      <c r="J45" s="130"/>
      <c r="K45" s="130"/>
      <c r="L45" s="130"/>
      <c r="M45" s="130"/>
      <c r="N45" s="132"/>
      <c r="O45" s="134"/>
      <c r="P45" s="134"/>
      <c r="Q45" s="130"/>
      <c r="R45" s="130"/>
      <c r="S45" s="130"/>
      <c r="T45" s="147"/>
      <c r="U45" s="132"/>
      <c r="V45" s="134"/>
      <c r="W45" s="134"/>
      <c r="X45" s="130"/>
      <c r="Y45" s="130"/>
      <c r="Z45" s="132"/>
      <c r="AA45" s="132"/>
      <c r="AB45" s="130"/>
      <c r="AC45" s="134"/>
      <c r="AD45" s="134"/>
      <c r="AE45" s="134"/>
      <c r="AF45" s="134"/>
      <c r="AG45" s="130"/>
      <c r="AH45" s="151"/>
      <c r="AI45" s="159">
        <f t="shared" ref="AI45" si="44">SUM(D45:AH45)</f>
        <v>0</v>
      </c>
      <c r="AJ45" s="86">
        <f>SUMIF(D47:AH47, "LL", D45:AH45) + SUMIF(D47:AH47, "LL", D46:AH46)</f>
        <v>0</v>
      </c>
      <c r="AK45" s="7"/>
      <c r="AL45" s="7"/>
      <c r="AM45" s="99">
        <f>SUMIF(D47:AH47, "CO", D45:AH45) + SUMIF(D47:AH47, "CO", D46:AH46)</f>
        <v>0</v>
      </c>
      <c r="AN45" s="59">
        <f ca="1">SUM(AI45:CA45)</f>
        <v>0</v>
      </c>
      <c r="AO45" s="5"/>
      <c r="AP45" s="73"/>
      <c r="AQ45" s="129"/>
      <c r="AR45" s="5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/>
      <c r="BP45"/>
      <c r="BQ45"/>
      <c r="BR45"/>
      <c r="BS45"/>
      <c r="BT45"/>
      <c r="BU45"/>
      <c r="BV45"/>
      <c r="BW45"/>
      <c r="BX45"/>
      <c r="BY45"/>
      <c r="BZ45"/>
      <c r="CA45"/>
      <c r="CD45" s="83">
        <f t="shared" si="26"/>
        <v>0</v>
      </c>
      <c r="CE45" s="66">
        <f t="shared" si="27"/>
        <v>0</v>
      </c>
      <c r="CF45" s="83">
        <f t="shared" si="28"/>
        <v>0</v>
      </c>
      <c r="CG45" s="65">
        <f t="shared" si="29"/>
        <v>0</v>
      </c>
      <c r="CH45" s="83">
        <f t="shared" si="30"/>
        <v>0</v>
      </c>
      <c r="CI45" s="65">
        <f t="shared" si="31"/>
        <v>0</v>
      </c>
      <c r="CJ45" s="83">
        <f t="shared" si="32"/>
        <v>0</v>
      </c>
      <c r="CK45" s="65">
        <f t="shared" si="33"/>
        <v>0</v>
      </c>
      <c r="CL45" s="83">
        <f t="shared" si="34"/>
        <v>0</v>
      </c>
      <c r="CM45" s="83">
        <f t="shared" si="35"/>
        <v>0</v>
      </c>
      <c r="CN45" s="111">
        <f t="shared" si="36"/>
        <v>0</v>
      </c>
      <c r="CO45" s="111">
        <f t="shared" si="37"/>
        <v>0</v>
      </c>
      <c r="CP45" s="111">
        <f t="shared" si="38"/>
        <v>0</v>
      </c>
      <c r="CQ45" s="111">
        <f t="shared" si="39"/>
        <v>0</v>
      </c>
      <c r="CR45"/>
      <c r="CS45" s="83">
        <f t="shared" si="41"/>
        <v>0</v>
      </c>
      <c r="CT45" s="83">
        <f t="shared" si="42"/>
        <v>0</v>
      </c>
      <c r="CU45" s="83">
        <f t="shared" si="43"/>
        <v>0</v>
      </c>
      <c r="CV45" s="111">
        <v>0</v>
      </c>
      <c r="CW45" s="111">
        <v>0</v>
      </c>
      <c r="CX45" s="111">
        <v>0</v>
      </c>
      <c r="CY45" s="111">
        <v>0</v>
      </c>
      <c r="CZ45"/>
      <c r="DA45"/>
      <c r="DB45"/>
      <c r="DC45"/>
      <c r="DD45"/>
      <c r="DE45"/>
    </row>
    <row r="46" spans="1:109" s="49" customFormat="1" ht="21" x14ac:dyDescent="0.25">
      <c r="A46" s="154"/>
      <c r="B46" s="139"/>
      <c r="C46" s="3" t="s">
        <v>12</v>
      </c>
      <c r="D46" s="137"/>
      <c r="E46" s="137"/>
      <c r="F46" s="131"/>
      <c r="G46" s="133"/>
      <c r="H46" s="135"/>
      <c r="I46" s="135"/>
      <c r="J46" s="131"/>
      <c r="K46" s="131"/>
      <c r="L46" s="131"/>
      <c r="M46" s="131"/>
      <c r="N46" s="133"/>
      <c r="O46" s="135"/>
      <c r="P46" s="135"/>
      <c r="Q46" s="131"/>
      <c r="R46" s="131"/>
      <c r="S46" s="131"/>
      <c r="T46" s="148"/>
      <c r="U46" s="133"/>
      <c r="V46" s="135"/>
      <c r="W46" s="135"/>
      <c r="X46" s="131"/>
      <c r="Y46" s="131"/>
      <c r="Z46" s="133"/>
      <c r="AA46" s="133"/>
      <c r="AB46" s="131"/>
      <c r="AC46" s="135"/>
      <c r="AD46" s="135"/>
      <c r="AE46" s="135"/>
      <c r="AF46" s="135"/>
      <c r="AG46" s="131"/>
      <c r="AH46" s="152"/>
      <c r="AI46" s="160"/>
      <c r="AJ46" s="11"/>
      <c r="AK46" s="7"/>
      <c r="AL46" s="7"/>
      <c r="AM46" s="11"/>
      <c r="AN46" s="59"/>
      <c r="AO46" s="5"/>
      <c r="AP46" s="78"/>
      <c r="AQ46" s="129"/>
      <c r="AR46" s="5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/>
      <c r="BP46"/>
      <c r="BQ46"/>
      <c r="BR46"/>
      <c r="BS46"/>
      <c r="BT46"/>
      <c r="BU46"/>
      <c r="BV46"/>
      <c r="BW46"/>
      <c r="BX46"/>
      <c r="BY46"/>
      <c r="BZ46"/>
      <c r="CA46"/>
      <c r="CD46" s="83">
        <f t="shared" si="26"/>
        <v>0</v>
      </c>
      <c r="CE46" s="66">
        <f t="shared" si="27"/>
        <v>0</v>
      </c>
      <c r="CF46" s="83">
        <f t="shared" si="28"/>
        <v>0</v>
      </c>
      <c r="CG46" s="65">
        <f t="shared" si="29"/>
        <v>0</v>
      </c>
      <c r="CH46" s="83">
        <f t="shared" si="30"/>
        <v>0</v>
      </c>
      <c r="CI46" s="65">
        <f t="shared" si="31"/>
        <v>0</v>
      </c>
      <c r="CJ46" s="83">
        <f t="shared" si="32"/>
        <v>0</v>
      </c>
      <c r="CK46" s="65">
        <f t="shared" si="33"/>
        <v>0</v>
      </c>
      <c r="CL46" s="83">
        <f t="shared" si="34"/>
        <v>0</v>
      </c>
      <c r="CM46" s="83">
        <f t="shared" si="35"/>
        <v>0</v>
      </c>
      <c r="CN46" s="111">
        <f t="shared" si="36"/>
        <v>0</v>
      </c>
      <c r="CO46" s="111">
        <f t="shared" si="37"/>
        <v>0</v>
      </c>
      <c r="CP46" s="111">
        <f t="shared" si="38"/>
        <v>0</v>
      </c>
      <c r="CQ46" s="111">
        <f t="shared" si="39"/>
        <v>0</v>
      </c>
      <c r="CR46"/>
      <c r="CS46" s="83">
        <f t="shared" ca="1" si="41"/>
        <v>0</v>
      </c>
      <c r="CT46" s="83">
        <f t="shared" ca="1" si="42"/>
        <v>0</v>
      </c>
      <c r="CU46" s="83">
        <f t="shared" ca="1" si="43"/>
        <v>0</v>
      </c>
      <c r="CV46" s="111">
        <v>0</v>
      </c>
      <c r="CW46" s="111">
        <v>0</v>
      </c>
      <c r="CX46" s="111">
        <v>0</v>
      </c>
      <c r="CY46" s="111">
        <v>0</v>
      </c>
      <c r="CZ46"/>
      <c r="DA46"/>
      <c r="DB46"/>
      <c r="DC46"/>
      <c r="DD46"/>
      <c r="DE46"/>
    </row>
    <row r="47" spans="1:109" s="49" customFormat="1" ht="22" thickBot="1" x14ac:dyDescent="0.3">
      <c r="A47" s="155"/>
      <c r="B47" s="140"/>
      <c r="C47" s="92" t="s">
        <v>4</v>
      </c>
      <c r="D47" s="88"/>
      <c r="E47" s="88"/>
      <c r="F47" s="88"/>
      <c r="G47" s="89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90"/>
      <c r="AI47" s="36"/>
      <c r="AJ47" s="34"/>
      <c r="AK47" s="7"/>
      <c r="AL47" s="7"/>
      <c r="AM47" s="34"/>
      <c r="AN47" s="59"/>
      <c r="AO47" s="5"/>
      <c r="AP47" s="78"/>
      <c r="AQ47" s="129"/>
      <c r="AR47" s="5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/>
      <c r="BP47"/>
      <c r="BQ47"/>
      <c r="BR47"/>
      <c r="BS47"/>
      <c r="BT47"/>
      <c r="BU47"/>
      <c r="BV47"/>
      <c r="BW47"/>
      <c r="BX47"/>
      <c r="BY47"/>
      <c r="BZ47"/>
      <c r="CA47"/>
      <c r="CD47" s="83">
        <f t="shared" si="26"/>
        <v>0</v>
      </c>
      <c r="CE47" s="66">
        <f t="shared" si="27"/>
        <v>0</v>
      </c>
      <c r="CF47" s="83">
        <f t="shared" si="28"/>
        <v>0</v>
      </c>
      <c r="CG47" s="65">
        <f t="shared" si="29"/>
        <v>0</v>
      </c>
      <c r="CH47" s="83">
        <f t="shared" si="30"/>
        <v>0</v>
      </c>
      <c r="CI47" s="65">
        <f t="shared" si="31"/>
        <v>0</v>
      </c>
      <c r="CJ47" s="83">
        <f t="shared" si="32"/>
        <v>0</v>
      </c>
      <c r="CK47" s="65">
        <f t="shared" si="33"/>
        <v>0</v>
      </c>
      <c r="CL47" s="83">
        <f t="shared" si="34"/>
        <v>0</v>
      </c>
      <c r="CM47" s="83">
        <f t="shared" si="35"/>
        <v>0</v>
      </c>
      <c r="CN47" s="111">
        <f t="shared" si="36"/>
        <v>0</v>
      </c>
      <c r="CO47" s="111">
        <f t="shared" si="37"/>
        <v>0</v>
      </c>
      <c r="CP47" s="111">
        <f t="shared" si="38"/>
        <v>0</v>
      </c>
      <c r="CQ47" s="111">
        <f t="shared" si="39"/>
        <v>0</v>
      </c>
      <c r="CR47"/>
      <c r="CS47" s="83">
        <f t="shared" si="41"/>
        <v>0</v>
      </c>
      <c r="CT47" s="83">
        <f t="shared" si="42"/>
        <v>0</v>
      </c>
      <c r="CU47" s="83">
        <f t="shared" si="43"/>
        <v>0</v>
      </c>
      <c r="CV47" s="111">
        <v>0</v>
      </c>
      <c r="CW47" s="111">
        <v>0</v>
      </c>
      <c r="CX47" s="111">
        <v>0</v>
      </c>
      <c r="CY47" s="111">
        <v>0</v>
      </c>
      <c r="CZ47"/>
      <c r="DA47"/>
      <c r="DB47"/>
      <c r="DC47"/>
      <c r="DD47"/>
      <c r="DE47"/>
    </row>
    <row r="48" spans="1:109" s="49" customFormat="1" ht="19" customHeight="1" thickTop="1" x14ac:dyDescent="0.25">
      <c r="A48" s="153">
        <v>14</v>
      </c>
      <c r="B48" s="138"/>
      <c r="C48" s="91" t="s">
        <v>11</v>
      </c>
      <c r="D48" s="136"/>
      <c r="E48" s="136"/>
      <c r="F48" s="130"/>
      <c r="G48" s="132"/>
      <c r="H48" s="134"/>
      <c r="I48" s="134"/>
      <c r="J48" s="130"/>
      <c r="K48" s="130"/>
      <c r="L48" s="130"/>
      <c r="M48" s="130"/>
      <c r="N48" s="132"/>
      <c r="O48" s="134"/>
      <c r="P48" s="134"/>
      <c r="Q48" s="130"/>
      <c r="R48" s="130"/>
      <c r="S48" s="130"/>
      <c r="T48" s="147"/>
      <c r="U48" s="132"/>
      <c r="V48" s="134"/>
      <c r="W48" s="134"/>
      <c r="X48" s="130"/>
      <c r="Y48" s="130"/>
      <c r="Z48" s="132"/>
      <c r="AA48" s="132"/>
      <c r="AB48" s="130"/>
      <c r="AC48" s="134"/>
      <c r="AD48" s="134"/>
      <c r="AE48" s="134"/>
      <c r="AF48" s="134"/>
      <c r="AG48" s="130"/>
      <c r="AH48" s="151"/>
      <c r="AI48" s="159">
        <f t="shared" ref="AI48" si="45">SUM(D48:AH48)</f>
        <v>0</v>
      </c>
      <c r="AJ48" s="87">
        <f>SUMIF(D50:AH50, "LL", D48:AH48) + SUMIF(D50:AH50, "LL", D49:AH49)</f>
        <v>0</v>
      </c>
      <c r="AK48" s="7"/>
      <c r="AL48" s="7"/>
      <c r="AM48" s="100">
        <f>SUMIF(D50:AH50, "CO", D48:AH48) + SUMIF(D50:AH50, "CO", D49:AH49)</f>
        <v>0</v>
      </c>
      <c r="AN48" s="59">
        <f ca="1">SUM(AI48:CA48)</f>
        <v>0</v>
      </c>
      <c r="AO48" s="5"/>
      <c r="AP48" s="73"/>
      <c r="AQ48" s="129"/>
      <c r="AR48" s="5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/>
      <c r="BP48"/>
      <c r="BQ48"/>
      <c r="BR48"/>
      <c r="BS48"/>
      <c r="BT48"/>
      <c r="BU48"/>
      <c r="BV48"/>
      <c r="BW48"/>
      <c r="BX48"/>
      <c r="BY48"/>
      <c r="BZ48"/>
      <c r="CA48"/>
      <c r="CD48" s="83">
        <f t="shared" si="26"/>
        <v>0</v>
      </c>
      <c r="CE48" s="66">
        <f t="shared" si="27"/>
        <v>0</v>
      </c>
      <c r="CF48" s="83">
        <f t="shared" si="28"/>
        <v>0</v>
      </c>
      <c r="CG48" s="65">
        <f t="shared" si="29"/>
        <v>0</v>
      </c>
      <c r="CH48" s="83">
        <f t="shared" si="30"/>
        <v>0</v>
      </c>
      <c r="CI48" s="65">
        <f t="shared" si="31"/>
        <v>0</v>
      </c>
      <c r="CJ48" s="83">
        <f t="shared" si="32"/>
        <v>0</v>
      </c>
      <c r="CK48" s="65">
        <f t="shared" si="33"/>
        <v>0</v>
      </c>
      <c r="CL48" s="83">
        <f t="shared" si="34"/>
        <v>0</v>
      </c>
      <c r="CM48" s="83">
        <f t="shared" si="35"/>
        <v>0</v>
      </c>
      <c r="CN48" s="111">
        <f t="shared" si="36"/>
        <v>0</v>
      </c>
      <c r="CO48" s="111">
        <f t="shared" si="37"/>
        <v>0</v>
      </c>
      <c r="CP48" s="111">
        <f t="shared" si="38"/>
        <v>0</v>
      </c>
      <c r="CQ48" s="111">
        <f t="shared" si="39"/>
        <v>0</v>
      </c>
      <c r="CR48"/>
      <c r="CS48" s="83">
        <f t="shared" si="41"/>
        <v>0</v>
      </c>
      <c r="CT48" s="83">
        <f t="shared" si="42"/>
        <v>0</v>
      </c>
      <c r="CU48" s="83">
        <f t="shared" si="43"/>
        <v>0</v>
      </c>
      <c r="CV48" s="111">
        <v>0</v>
      </c>
      <c r="CW48" s="111">
        <v>0</v>
      </c>
      <c r="CX48" s="111">
        <v>0</v>
      </c>
      <c r="CY48" s="111">
        <v>0</v>
      </c>
      <c r="CZ48"/>
      <c r="DA48"/>
      <c r="DB48"/>
      <c r="DC48"/>
      <c r="DD48"/>
      <c r="DE48"/>
    </row>
    <row r="49" spans="1:109" s="49" customFormat="1" ht="21" x14ac:dyDescent="0.25">
      <c r="A49" s="154"/>
      <c r="B49" s="139"/>
      <c r="C49" s="3" t="s">
        <v>12</v>
      </c>
      <c r="D49" s="137"/>
      <c r="E49" s="137"/>
      <c r="F49" s="131"/>
      <c r="G49" s="133"/>
      <c r="H49" s="135"/>
      <c r="I49" s="135"/>
      <c r="J49" s="131"/>
      <c r="K49" s="131"/>
      <c r="L49" s="131"/>
      <c r="M49" s="131"/>
      <c r="N49" s="133"/>
      <c r="O49" s="135"/>
      <c r="P49" s="135"/>
      <c r="Q49" s="131"/>
      <c r="R49" s="131"/>
      <c r="S49" s="131"/>
      <c r="T49" s="148"/>
      <c r="U49" s="133"/>
      <c r="V49" s="135"/>
      <c r="W49" s="135"/>
      <c r="X49" s="131"/>
      <c r="Y49" s="131"/>
      <c r="Z49" s="133"/>
      <c r="AA49" s="133"/>
      <c r="AB49" s="131"/>
      <c r="AC49" s="135"/>
      <c r="AD49" s="135"/>
      <c r="AE49" s="135"/>
      <c r="AF49" s="135"/>
      <c r="AG49" s="131"/>
      <c r="AH49" s="152"/>
      <c r="AI49" s="160"/>
      <c r="AJ49" s="11"/>
      <c r="AK49" s="7"/>
      <c r="AL49" s="7"/>
      <c r="AM49" s="11"/>
      <c r="AN49" s="59"/>
      <c r="AO49" s="5"/>
      <c r="AP49" s="78"/>
      <c r="AQ49" s="129"/>
      <c r="AR49" s="5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/>
      <c r="BP49"/>
      <c r="BQ49"/>
      <c r="BR49"/>
      <c r="BS49"/>
      <c r="BT49"/>
      <c r="BU49"/>
      <c r="BV49"/>
      <c r="BW49"/>
      <c r="BX49"/>
      <c r="BY49"/>
      <c r="BZ49"/>
      <c r="CA49"/>
      <c r="CD49" s="83">
        <f t="shared" si="26"/>
        <v>0</v>
      </c>
      <c r="CE49" s="66">
        <f t="shared" si="27"/>
        <v>0</v>
      </c>
      <c r="CF49" s="83">
        <f t="shared" si="28"/>
        <v>0</v>
      </c>
      <c r="CG49" s="65">
        <f t="shared" si="29"/>
        <v>0</v>
      </c>
      <c r="CH49" s="83">
        <f t="shared" si="30"/>
        <v>0</v>
      </c>
      <c r="CI49" s="65">
        <f t="shared" si="31"/>
        <v>0</v>
      </c>
      <c r="CJ49" s="83">
        <f t="shared" si="32"/>
        <v>0</v>
      </c>
      <c r="CK49" s="65">
        <f t="shared" si="33"/>
        <v>0</v>
      </c>
      <c r="CL49" s="83">
        <f t="shared" si="34"/>
        <v>0</v>
      </c>
      <c r="CM49" s="83">
        <f t="shared" si="35"/>
        <v>0</v>
      </c>
      <c r="CN49" s="111">
        <f t="shared" si="36"/>
        <v>0</v>
      </c>
      <c r="CO49" s="111">
        <f t="shared" si="37"/>
        <v>0</v>
      </c>
      <c r="CP49" s="111">
        <f t="shared" si="38"/>
        <v>0</v>
      </c>
      <c r="CQ49" s="111">
        <f t="shared" si="39"/>
        <v>0</v>
      </c>
      <c r="CR49"/>
      <c r="CS49" s="83">
        <f t="shared" ca="1" si="41"/>
        <v>0</v>
      </c>
      <c r="CT49" s="83">
        <f t="shared" ca="1" si="42"/>
        <v>0</v>
      </c>
      <c r="CU49" s="83">
        <f t="shared" ca="1" si="43"/>
        <v>0</v>
      </c>
      <c r="CV49" s="111">
        <v>0</v>
      </c>
      <c r="CW49" s="111">
        <v>0</v>
      </c>
      <c r="CX49" s="111">
        <v>0</v>
      </c>
      <c r="CY49" s="111">
        <v>0</v>
      </c>
      <c r="CZ49"/>
      <c r="DA49"/>
      <c r="DB49"/>
      <c r="DC49"/>
      <c r="DD49"/>
      <c r="DE49"/>
    </row>
    <row r="50" spans="1:109" s="49" customFormat="1" ht="22" thickBot="1" x14ac:dyDescent="0.3">
      <c r="A50" s="155"/>
      <c r="B50" s="140"/>
      <c r="C50" s="92" t="s">
        <v>4</v>
      </c>
      <c r="D50" s="88"/>
      <c r="E50" s="88"/>
      <c r="F50" s="88"/>
      <c r="G50" s="89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90"/>
      <c r="AI50" s="36"/>
      <c r="AJ50" s="34"/>
      <c r="AK50" s="7"/>
      <c r="AL50" s="7"/>
      <c r="AM50" s="34"/>
      <c r="AN50" s="59"/>
      <c r="AO50" s="5"/>
      <c r="AP50" s="78"/>
      <c r="AQ50" s="129"/>
      <c r="AR50" s="5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/>
      <c r="BP50"/>
      <c r="BQ50"/>
      <c r="BR50"/>
      <c r="BS50"/>
      <c r="BT50"/>
      <c r="BU50"/>
      <c r="BV50"/>
      <c r="BW50"/>
      <c r="BX50"/>
      <c r="BY50"/>
      <c r="BZ50"/>
      <c r="CA50"/>
      <c r="CD50" s="83">
        <f t="shared" si="26"/>
        <v>0</v>
      </c>
      <c r="CE50" s="66">
        <f t="shared" si="27"/>
        <v>0</v>
      </c>
      <c r="CF50" s="83">
        <f t="shared" si="28"/>
        <v>0</v>
      </c>
      <c r="CG50" s="65">
        <f t="shared" si="29"/>
        <v>0</v>
      </c>
      <c r="CH50" s="83">
        <f t="shared" si="30"/>
        <v>0</v>
      </c>
      <c r="CI50" s="65">
        <f t="shared" si="31"/>
        <v>0</v>
      </c>
      <c r="CJ50" s="83">
        <f t="shared" si="32"/>
        <v>0</v>
      </c>
      <c r="CK50" s="65">
        <f t="shared" si="33"/>
        <v>0</v>
      </c>
      <c r="CL50" s="83">
        <f t="shared" si="34"/>
        <v>0</v>
      </c>
      <c r="CM50" s="83">
        <f t="shared" si="35"/>
        <v>0</v>
      </c>
      <c r="CN50" s="111">
        <f t="shared" si="36"/>
        <v>0</v>
      </c>
      <c r="CO50" s="111">
        <f t="shared" si="37"/>
        <v>0</v>
      </c>
      <c r="CP50" s="111">
        <f t="shared" si="38"/>
        <v>0</v>
      </c>
      <c r="CQ50" s="111">
        <f t="shared" si="39"/>
        <v>0</v>
      </c>
      <c r="CR50"/>
      <c r="CS50" s="83">
        <f t="shared" si="41"/>
        <v>0</v>
      </c>
      <c r="CT50" s="83">
        <f t="shared" si="42"/>
        <v>0</v>
      </c>
      <c r="CU50" s="83">
        <f t="shared" si="43"/>
        <v>0</v>
      </c>
      <c r="CV50" s="111">
        <v>0</v>
      </c>
      <c r="CW50" s="111">
        <v>0</v>
      </c>
      <c r="CX50" s="111">
        <v>0</v>
      </c>
      <c r="CY50" s="111">
        <v>0</v>
      </c>
      <c r="CZ50"/>
      <c r="DA50"/>
      <c r="DB50"/>
      <c r="DC50"/>
      <c r="DD50"/>
      <c r="DE50"/>
    </row>
    <row r="51" spans="1:109" s="49" customFormat="1" ht="19" customHeight="1" thickTop="1" x14ac:dyDescent="0.25">
      <c r="A51" s="153">
        <v>15</v>
      </c>
      <c r="B51" s="138"/>
      <c r="C51" s="91" t="s">
        <v>11</v>
      </c>
      <c r="D51" s="136"/>
      <c r="E51" s="136"/>
      <c r="F51" s="130"/>
      <c r="G51" s="132"/>
      <c r="H51" s="134"/>
      <c r="I51" s="134"/>
      <c r="J51" s="130"/>
      <c r="K51" s="130"/>
      <c r="L51" s="130"/>
      <c r="M51" s="130"/>
      <c r="N51" s="132"/>
      <c r="O51" s="134"/>
      <c r="P51" s="134"/>
      <c r="Q51" s="130"/>
      <c r="R51" s="130"/>
      <c r="S51" s="130"/>
      <c r="T51" s="147"/>
      <c r="U51" s="132"/>
      <c r="V51" s="134"/>
      <c r="W51" s="134"/>
      <c r="X51" s="130"/>
      <c r="Y51" s="130"/>
      <c r="Z51" s="132"/>
      <c r="AA51" s="132"/>
      <c r="AB51" s="130"/>
      <c r="AC51" s="134"/>
      <c r="AD51" s="134"/>
      <c r="AE51" s="134"/>
      <c r="AF51" s="134"/>
      <c r="AG51" s="130"/>
      <c r="AH51" s="151"/>
      <c r="AI51" s="159">
        <f t="shared" ref="AI51" si="46">SUM(D51:AH51)</f>
        <v>0</v>
      </c>
      <c r="AJ51" s="86">
        <f>SUMIF(D53:AH53, "LL", D51:AH51) + SUMIF(D53:AH53, "LL", D52:AH52)</f>
        <v>0</v>
      </c>
      <c r="AK51" s="7"/>
      <c r="AL51" s="7"/>
      <c r="AM51" s="99">
        <f>SUMIF(D53:AH53, "CO", D51:AH51) + SUMIF(D53:AH53, "CO", D52:AH52)</f>
        <v>0</v>
      </c>
      <c r="AN51" s="59">
        <f ca="1">SUM(AI51:CA51)</f>
        <v>0</v>
      </c>
      <c r="AO51" s="5"/>
      <c r="AP51" s="73"/>
      <c r="AQ51" s="129"/>
      <c r="AR51" s="5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/>
      <c r="BP51"/>
      <c r="BQ51"/>
      <c r="BR51"/>
      <c r="BS51"/>
      <c r="BT51"/>
      <c r="BU51"/>
      <c r="BV51"/>
      <c r="BW51"/>
      <c r="BX51"/>
      <c r="BY51"/>
      <c r="BZ51"/>
      <c r="CA51"/>
      <c r="CD51" s="83">
        <f t="shared" si="26"/>
        <v>0</v>
      </c>
      <c r="CE51" s="66">
        <f t="shared" si="27"/>
        <v>0</v>
      </c>
      <c r="CF51" s="83">
        <f t="shared" si="28"/>
        <v>0</v>
      </c>
      <c r="CG51" s="65">
        <f t="shared" si="29"/>
        <v>0</v>
      </c>
      <c r="CH51" s="83">
        <f t="shared" si="30"/>
        <v>0</v>
      </c>
      <c r="CI51" s="65">
        <f t="shared" si="31"/>
        <v>0</v>
      </c>
      <c r="CJ51" s="83">
        <f t="shared" si="32"/>
        <v>0</v>
      </c>
      <c r="CK51" s="65">
        <f t="shared" si="33"/>
        <v>0</v>
      </c>
      <c r="CL51" s="83">
        <f t="shared" si="34"/>
        <v>0</v>
      </c>
      <c r="CM51" s="83">
        <f t="shared" si="35"/>
        <v>0</v>
      </c>
      <c r="CN51" s="111">
        <f t="shared" si="36"/>
        <v>0</v>
      </c>
      <c r="CO51" s="111">
        <f t="shared" si="37"/>
        <v>0</v>
      </c>
      <c r="CP51" s="111">
        <f t="shared" si="38"/>
        <v>0</v>
      </c>
      <c r="CQ51" s="111">
        <f t="shared" si="39"/>
        <v>0</v>
      </c>
      <c r="CR51"/>
      <c r="CS51" s="83">
        <f t="shared" si="41"/>
        <v>0</v>
      </c>
      <c r="CT51" s="83">
        <f t="shared" si="42"/>
        <v>0</v>
      </c>
      <c r="CU51" s="83">
        <f t="shared" si="43"/>
        <v>0</v>
      </c>
      <c r="CV51" s="111">
        <v>0</v>
      </c>
      <c r="CW51" s="111">
        <v>0</v>
      </c>
      <c r="CX51" s="111">
        <v>0</v>
      </c>
      <c r="CY51" s="111">
        <v>0</v>
      </c>
      <c r="CZ51"/>
      <c r="DA51"/>
      <c r="DB51"/>
      <c r="DC51"/>
      <c r="DD51"/>
      <c r="DE51"/>
    </row>
    <row r="52" spans="1:109" s="49" customFormat="1" ht="21" x14ac:dyDescent="0.25">
      <c r="A52" s="154"/>
      <c r="B52" s="139"/>
      <c r="C52" s="3" t="s">
        <v>12</v>
      </c>
      <c r="D52" s="137"/>
      <c r="E52" s="137"/>
      <c r="F52" s="131"/>
      <c r="G52" s="133"/>
      <c r="H52" s="135"/>
      <c r="I52" s="135"/>
      <c r="J52" s="131"/>
      <c r="K52" s="131"/>
      <c r="L52" s="131"/>
      <c r="M52" s="131"/>
      <c r="N52" s="133"/>
      <c r="O52" s="135"/>
      <c r="P52" s="135"/>
      <c r="Q52" s="131"/>
      <c r="R52" s="131"/>
      <c r="S52" s="131"/>
      <c r="T52" s="148"/>
      <c r="U52" s="133"/>
      <c r="V52" s="135"/>
      <c r="W52" s="135"/>
      <c r="X52" s="131"/>
      <c r="Y52" s="131"/>
      <c r="Z52" s="133"/>
      <c r="AA52" s="133"/>
      <c r="AB52" s="131"/>
      <c r="AC52" s="135"/>
      <c r="AD52" s="135"/>
      <c r="AE52" s="135"/>
      <c r="AF52" s="135"/>
      <c r="AG52" s="131"/>
      <c r="AH52" s="152"/>
      <c r="AI52" s="160"/>
      <c r="AJ52" s="11"/>
      <c r="AK52" s="7"/>
      <c r="AL52" s="7"/>
      <c r="AM52" s="11"/>
      <c r="AN52" s="59"/>
      <c r="AO52" s="5"/>
      <c r="AP52" s="78"/>
      <c r="AQ52" s="129"/>
      <c r="AR52" s="5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/>
      <c r="BP52"/>
      <c r="BQ52"/>
      <c r="BR52"/>
      <c r="BS52"/>
      <c r="BT52"/>
      <c r="BU52"/>
      <c r="BV52"/>
      <c r="BW52"/>
      <c r="BX52"/>
      <c r="BY52"/>
      <c r="BZ52"/>
      <c r="CA52"/>
      <c r="CD52" s="83">
        <f t="shared" si="26"/>
        <v>0</v>
      </c>
      <c r="CE52" s="66">
        <f t="shared" si="27"/>
        <v>0</v>
      </c>
      <c r="CF52" s="83">
        <f t="shared" si="28"/>
        <v>0</v>
      </c>
      <c r="CG52" s="65">
        <f t="shared" si="29"/>
        <v>0</v>
      </c>
      <c r="CH52" s="83">
        <f t="shared" si="30"/>
        <v>0</v>
      </c>
      <c r="CI52" s="65">
        <f t="shared" si="31"/>
        <v>0</v>
      </c>
      <c r="CJ52" s="83">
        <f t="shared" si="32"/>
        <v>0</v>
      </c>
      <c r="CK52" s="65">
        <f t="shared" si="33"/>
        <v>0</v>
      </c>
      <c r="CL52" s="83">
        <f t="shared" si="34"/>
        <v>0</v>
      </c>
      <c r="CM52" s="83">
        <f t="shared" si="35"/>
        <v>0</v>
      </c>
      <c r="CN52" s="111">
        <f t="shared" si="36"/>
        <v>0</v>
      </c>
      <c r="CO52" s="111">
        <f t="shared" si="37"/>
        <v>0</v>
      </c>
      <c r="CP52" s="111">
        <f t="shared" si="38"/>
        <v>0</v>
      </c>
      <c r="CQ52" s="111">
        <f t="shared" si="39"/>
        <v>0</v>
      </c>
      <c r="CR52"/>
      <c r="CS52" s="83">
        <f t="shared" ca="1" si="41"/>
        <v>0</v>
      </c>
      <c r="CT52" s="83">
        <f t="shared" ca="1" si="42"/>
        <v>0</v>
      </c>
      <c r="CU52" s="83">
        <f t="shared" ca="1" si="43"/>
        <v>0</v>
      </c>
      <c r="CV52" s="111">
        <v>0</v>
      </c>
      <c r="CW52" s="111">
        <v>0</v>
      </c>
      <c r="CX52" s="111">
        <v>0</v>
      </c>
      <c r="CY52" s="111">
        <v>0</v>
      </c>
      <c r="CZ52"/>
      <c r="DA52"/>
      <c r="DB52"/>
      <c r="DC52"/>
      <c r="DD52"/>
      <c r="DE52"/>
    </row>
    <row r="53" spans="1:109" s="49" customFormat="1" ht="22" thickBot="1" x14ac:dyDescent="0.3">
      <c r="A53" s="155"/>
      <c r="B53" s="140"/>
      <c r="C53" s="92" t="s">
        <v>4</v>
      </c>
      <c r="D53" s="88"/>
      <c r="E53" s="88"/>
      <c r="F53" s="88"/>
      <c r="G53" s="89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90"/>
      <c r="AI53" s="36"/>
      <c r="AJ53" s="34"/>
      <c r="AK53" s="7"/>
      <c r="AL53" s="7"/>
      <c r="AM53" s="34"/>
      <c r="AN53" s="59"/>
      <c r="AO53" s="5"/>
      <c r="AP53" s="78"/>
      <c r="AQ53" s="129"/>
      <c r="AR53" s="5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114"/>
      <c r="BN53" s="114"/>
      <c r="BO53"/>
      <c r="BP53"/>
      <c r="BQ53"/>
      <c r="BR53"/>
      <c r="BS53"/>
      <c r="BT53"/>
      <c r="BU53"/>
      <c r="BV53"/>
      <c r="BW53"/>
      <c r="BX53"/>
      <c r="BY53"/>
      <c r="BZ53"/>
      <c r="CA53"/>
      <c r="CD53" s="83">
        <f t="shared" si="26"/>
        <v>0</v>
      </c>
      <c r="CE53" s="66">
        <f t="shared" si="27"/>
        <v>0</v>
      </c>
      <c r="CF53" s="83">
        <f t="shared" si="28"/>
        <v>0</v>
      </c>
      <c r="CG53" s="65">
        <f t="shared" si="29"/>
        <v>0</v>
      </c>
      <c r="CH53" s="83">
        <f t="shared" si="30"/>
        <v>0</v>
      </c>
      <c r="CI53" s="65">
        <f t="shared" si="31"/>
        <v>0</v>
      </c>
      <c r="CJ53" s="83">
        <f t="shared" si="32"/>
        <v>0</v>
      </c>
      <c r="CK53" s="65">
        <f t="shared" si="33"/>
        <v>0</v>
      </c>
      <c r="CL53" s="83">
        <f t="shared" si="34"/>
        <v>0</v>
      </c>
      <c r="CM53" s="83">
        <f t="shared" si="35"/>
        <v>0</v>
      </c>
      <c r="CN53" s="111">
        <f t="shared" si="36"/>
        <v>0</v>
      </c>
      <c r="CO53" s="111">
        <f t="shared" si="37"/>
        <v>0</v>
      </c>
      <c r="CP53" s="111">
        <f t="shared" si="38"/>
        <v>0</v>
      </c>
      <c r="CQ53" s="111">
        <f t="shared" si="39"/>
        <v>0</v>
      </c>
      <c r="CR53"/>
      <c r="CS53" s="83">
        <f t="shared" si="41"/>
        <v>0</v>
      </c>
      <c r="CT53" s="83">
        <f t="shared" si="42"/>
        <v>0</v>
      </c>
      <c r="CU53" s="83">
        <f t="shared" si="43"/>
        <v>0</v>
      </c>
      <c r="CV53" s="111">
        <v>0</v>
      </c>
      <c r="CW53" s="111">
        <v>0</v>
      </c>
      <c r="CX53" s="111">
        <v>0</v>
      </c>
      <c r="CY53" s="111">
        <v>0</v>
      </c>
      <c r="CZ53"/>
      <c r="DA53"/>
      <c r="DB53"/>
      <c r="DC53"/>
      <c r="DD53"/>
      <c r="DE53"/>
    </row>
    <row r="54" spans="1:109" s="49" customFormat="1" ht="19" customHeight="1" thickTop="1" x14ac:dyDescent="0.25">
      <c r="A54" s="153">
        <v>16</v>
      </c>
      <c r="B54" s="138"/>
      <c r="C54" s="91" t="s">
        <v>11</v>
      </c>
      <c r="D54" s="136"/>
      <c r="E54" s="136"/>
      <c r="F54" s="130"/>
      <c r="G54" s="132"/>
      <c r="H54" s="134"/>
      <c r="I54" s="134"/>
      <c r="J54" s="130"/>
      <c r="K54" s="130"/>
      <c r="L54" s="130"/>
      <c r="M54" s="130"/>
      <c r="N54" s="132"/>
      <c r="O54" s="134"/>
      <c r="P54" s="134"/>
      <c r="Q54" s="130"/>
      <c r="R54" s="130"/>
      <c r="S54" s="130"/>
      <c r="T54" s="147"/>
      <c r="U54" s="132"/>
      <c r="V54" s="134"/>
      <c r="W54" s="134"/>
      <c r="X54" s="130"/>
      <c r="Y54" s="130"/>
      <c r="Z54" s="132"/>
      <c r="AA54" s="132"/>
      <c r="AB54" s="130"/>
      <c r="AC54" s="134"/>
      <c r="AD54" s="134"/>
      <c r="AE54" s="134"/>
      <c r="AF54" s="134"/>
      <c r="AG54" s="130"/>
      <c r="AH54" s="151"/>
      <c r="AI54" s="159">
        <f t="shared" ref="AI54" si="47">SUM(D54:AH54)</f>
        <v>0</v>
      </c>
      <c r="AJ54" s="87">
        <f>SUMIF(D56:AH56, "LL", D54:AH54) + SUMIF(D56:AH56, "LL", D55:AH55)</f>
        <v>0</v>
      </c>
      <c r="AK54" s="7"/>
      <c r="AL54" s="7"/>
      <c r="AM54" s="100">
        <f>SUMIF(D56:AH56, "CO", D54:AH54) + SUMIF(D56:AH56, "CO", D55:AH55)</f>
        <v>0</v>
      </c>
      <c r="AN54" s="59">
        <f ca="1">SUM(AI54:CA54)</f>
        <v>0</v>
      </c>
      <c r="AO54" s="5"/>
      <c r="AP54" s="73"/>
      <c r="AQ54" s="129"/>
      <c r="AR54" s="5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/>
      <c r="BP54"/>
      <c r="BQ54"/>
      <c r="BR54"/>
      <c r="BS54"/>
      <c r="BT54"/>
      <c r="BU54"/>
      <c r="BV54"/>
      <c r="BW54"/>
      <c r="BX54"/>
      <c r="BY54"/>
      <c r="BZ54"/>
      <c r="CA54"/>
      <c r="CD54" s="83">
        <f t="shared" si="26"/>
        <v>0</v>
      </c>
      <c r="CE54" s="66">
        <f t="shared" si="27"/>
        <v>0</v>
      </c>
      <c r="CF54" s="83">
        <f t="shared" si="28"/>
        <v>0</v>
      </c>
      <c r="CG54" s="65">
        <f t="shared" si="29"/>
        <v>0</v>
      </c>
      <c r="CH54" s="83">
        <f t="shared" si="30"/>
        <v>0</v>
      </c>
      <c r="CI54" s="65">
        <f t="shared" si="31"/>
        <v>0</v>
      </c>
      <c r="CJ54" s="83">
        <f t="shared" si="32"/>
        <v>0</v>
      </c>
      <c r="CK54" s="65">
        <f t="shared" si="33"/>
        <v>0</v>
      </c>
      <c r="CL54" s="83">
        <f t="shared" si="34"/>
        <v>0</v>
      </c>
      <c r="CM54" s="83">
        <f t="shared" si="35"/>
        <v>0</v>
      </c>
      <c r="CN54" s="111">
        <f t="shared" si="36"/>
        <v>0</v>
      </c>
      <c r="CO54" s="111">
        <f t="shared" si="37"/>
        <v>0</v>
      </c>
      <c r="CP54" s="111">
        <f t="shared" si="38"/>
        <v>0</v>
      </c>
      <c r="CQ54" s="111">
        <f t="shared" si="39"/>
        <v>0</v>
      </c>
      <c r="CR54"/>
      <c r="CS54" s="83">
        <f t="shared" si="41"/>
        <v>0</v>
      </c>
      <c r="CT54" s="83">
        <f t="shared" si="42"/>
        <v>0</v>
      </c>
      <c r="CU54" s="83">
        <f t="shared" si="43"/>
        <v>0</v>
      </c>
      <c r="CV54" s="111">
        <v>0</v>
      </c>
      <c r="CW54" s="111">
        <v>0</v>
      </c>
      <c r="CX54" s="111">
        <v>0</v>
      </c>
      <c r="CY54" s="111">
        <v>0</v>
      </c>
      <c r="CZ54"/>
      <c r="DA54"/>
      <c r="DB54"/>
      <c r="DC54"/>
      <c r="DD54"/>
      <c r="DE54"/>
    </row>
    <row r="55" spans="1:109" s="49" customFormat="1" ht="21" x14ac:dyDescent="0.25">
      <c r="A55" s="154"/>
      <c r="B55" s="139"/>
      <c r="C55" s="3" t="s">
        <v>12</v>
      </c>
      <c r="D55" s="137"/>
      <c r="E55" s="137"/>
      <c r="F55" s="131"/>
      <c r="G55" s="133"/>
      <c r="H55" s="135"/>
      <c r="I55" s="135"/>
      <c r="J55" s="131"/>
      <c r="K55" s="131"/>
      <c r="L55" s="131"/>
      <c r="M55" s="131"/>
      <c r="N55" s="133"/>
      <c r="O55" s="135"/>
      <c r="P55" s="135"/>
      <c r="Q55" s="131"/>
      <c r="R55" s="131"/>
      <c r="S55" s="131"/>
      <c r="T55" s="148"/>
      <c r="U55" s="133"/>
      <c r="V55" s="135"/>
      <c r="W55" s="135"/>
      <c r="X55" s="131"/>
      <c r="Y55" s="131"/>
      <c r="Z55" s="133"/>
      <c r="AA55" s="133"/>
      <c r="AB55" s="131"/>
      <c r="AC55" s="135"/>
      <c r="AD55" s="135"/>
      <c r="AE55" s="135"/>
      <c r="AF55" s="135"/>
      <c r="AG55" s="131"/>
      <c r="AH55" s="152"/>
      <c r="AI55" s="160"/>
      <c r="AJ55" s="11"/>
      <c r="AK55" s="7"/>
      <c r="AL55" s="7"/>
      <c r="AM55" s="11"/>
      <c r="AN55" s="59"/>
      <c r="AO55" s="5"/>
      <c r="AP55" s="78"/>
      <c r="AQ55" s="129"/>
      <c r="AR55" s="5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/>
      <c r="BP55"/>
      <c r="BQ55"/>
      <c r="BR55"/>
      <c r="BS55"/>
      <c r="BT55"/>
      <c r="BU55"/>
      <c r="BV55"/>
      <c r="BW55"/>
      <c r="BX55"/>
      <c r="BY55"/>
      <c r="BZ55"/>
      <c r="CA55"/>
      <c r="CD55" s="83">
        <f t="shared" si="26"/>
        <v>0</v>
      </c>
      <c r="CE55" s="66">
        <f t="shared" si="27"/>
        <v>0</v>
      </c>
      <c r="CF55" s="83">
        <f t="shared" si="28"/>
        <v>0</v>
      </c>
      <c r="CG55" s="65">
        <f t="shared" si="29"/>
        <v>0</v>
      </c>
      <c r="CH55" s="83">
        <f t="shared" si="30"/>
        <v>0</v>
      </c>
      <c r="CI55" s="65">
        <f t="shared" si="31"/>
        <v>0</v>
      </c>
      <c r="CJ55" s="83">
        <f t="shared" si="32"/>
        <v>0</v>
      </c>
      <c r="CK55" s="65">
        <f t="shared" si="33"/>
        <v>0</v>
      </c>
      <c r="CL55" s="83">
        <f t="shared" si="34"/>
        <v>0</v>
      </c>
      <c r="CM55" s="83">
        <f t="shared" si="35"/>
        <v>0</v>
      </c>
      <c r="CN55" s="111">
        <f t="shared" si="36"/>
        <v>0</v>
      </c>
      <c r="CO55" s="111">
        <f t="shared" si="37"/>
        <v>0</v>
      </c>
      <c r="CP55" s="111">
        <f t="shared" si="38"/>
        <v>0</v>
      </c>
      <c r="CQ55" s="111">
        <f t="shared" si="39"/>
        <v>0</v>
      </c>
      <c r="CR55"/>
      <c r="CS55" s="83">
        <f t="shared" ca="1" si="41"/>
        <v>0</v>
      </c>
      <c r="CT55" s="83">
        <f t="shared" ca="1" si="42"/>
        <v>0</v>
      </c>
      <c r="CU55" s="83">
        <f t="shared" ca="1" si="43"/>
        <v>0</v>
      </c>
      <c r="CV55" s="111">
        <v>0</v>
      </c>
      <c r="CW55" s="111">
        <v>0</v>
      </c>
      <c r="CX55" s="111">
        <v>0</v>
      </c>
      <c r="CY55" s="111">
        <v>0</v>
      </c>
      <c r="CZ55"/>
      <c r="DA55"/>
      <c r="DB55"/>
      <c r="DC55"/>
      <c r="DD55"/>
      <c r="DE55"/>
    </row>
    <row r="56" spans="1:109" s="49" customFormat="1" ht="22" thickBot="1" x14ac:dyDescent="0.3">
      <c r="A56" s="155"/>
      <c r="B56" s="140"/>
      <c r="C56" s="92" t="s">
        <v>4</v>
      </c>
      <c r="D56" s="88"/>
      <c r="E56" s="88"/>
      <c r="F56" s="88"/>
      <c r="G56" s="89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90"/>
      <c r="AI56" s="36"/>
      <c r="AJ56" s="34"/>
      <c r="AK56" s="7"/>
      <c r="AL56" s="7"/>
      <c r="AM56" s="34"/>
      <c r="AN56" s="59"/>
      <c r="AO56" s="5"/>
      <c r="AP56" s="78"/>
      <c r="AQ56" s="129"/>
      <c r="AR56" s="5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/>
      <c r="BP56"/>
      <c r="BQ56"/>
      <c r="BR56"/>
      <c r="BS56"/>
      <c r="BT56"/>
      <c r="BU56"/>
      <c r="BV56"/>
      <c r="BW56"/>
      <c r="BX56"/>
      <c r="BY56"/>
      <c r="BZ56"/>
      <c r="CA56"/>
      <c r="CD56" s="83">
        <f t="shared" si="26"/>
        <v>0</v>
      </c>
      <c r="CE56" s="66">
        <f t="shared" si="27"/>
        <v>0</v>
      </c>
      <c r="CF56" s="83">
        <f t="shared" si="28"/>
        <v>0</v>
      </c>
      <c r="CG56" s="65">
        <f t="shared" si="29"/>
        <v>0</v>
      </c>
      <c r="CH56" s="83">
        <f t="shared" si="30"/>
        <v>0</v>
      </c>
      <c r="CI56" s="65">
        <f t="shared" si="31"/>
        <v>0</v>
      </c>
      <c r="CJ56" s="83">
        <f t="shared" si="32"/>
        <v>0</v>
      </c>
      <c r="CK56" s="65">
        <f t="shared" si="33"/>
        <v>0</v>
      </c>
      <c r="CL56" s="83">
        <f t="shared" si="34"/>
        <v>0</v>
      </c>
      <c r="CM56" s="83">
        <f t="shared" si="35"/>
        <v>0</v>
      </c>
      <c r="CN56" s="111">
        <f t="shared" si="36"/>
        <v>0</v>
      </c>
      <c r="CO56" s="111">
        <f t="shared" si="37"/>
        <v>0</v>
      </c>
      <c r="CP56" s="111">
        <f t="shared" si="38"/>
        <v>0</v>
      </c>
      <c r="CQ56" s="111">
        <f t="shared" si="39"/>
        <v>0</v>
      </c>
      <c r="CR56"/>
      <c r="CS56" s="83">
        <f t="shared" si="41"/>
        <v>0</v>
      </c>
      <c r="CT56" s="83">
        <f t="shared" si="42"/>
        <v>0</v>
      </c>
      <c r="CU56" s="83">
        <f t="shared" si="43"/>
        <v>0</v>
      </c>
      <c r="CV56" s="111">
        <v>0</v>
      </c>
      <c r="CW56" s="111">
        <v>0</v>
      </c>
      <c r="CX56" s="111">
        <v>0</v>
      </c>
      <c r="CY56" s="111">
        <v>0</v>
      </c>
      <c r="CZ56"/>
      <c r="DA56"/>
      <c r="DB56"/>
      <c r="DC56"/>
      <c r="DD56"/>
      <c r="DE56"/>
    </row>
    <row r="57" spans="1:109" s="49" customFormat="1" ht="19" customHeight="1" thickTop="1" x14ac:dyDescent="0.25">
      <c r="A57" s="153">
        <v>17</v>
      </c>
      <c r="B57" s="138"/>
      <c r="C57" s="91" t="s">
        <v>11</v>
      </c>
      <c r="D57" s="136"/>
      <c r="E57" s="136"/>
      <c r="F57" s="130"/>
      <c r="G57" s="132"/>
      <c r="H57" s="134"/>
      <c r="I57" s="134"/>
      <c r="J57" s="130"/>
      <c r="K57" s="130"/>
      <c r="L57" s="130"/>
      <c r="M57" s="130"/>
      <c r="N57" s="132"/>
      <c r="O57" s="134"/>
      <c r="P57" s="134"/>
      <c r="Q57" s="130"/>
      <c r="R57" s="130"/>
      <c r="S57" s="130"/>
      <c r="T57" s="147"/>
      <c r="U57" s="132"/>
      <c r="V57" s="134"/>
      <c r="W57" s="134"/>
      <c r="X57" s="130"/>
      <c r="Y57" s="130"/>
      <c r="Z57" s="132"/>
      <c r="AA57" s="132"/>
      <c r="AB57" s="130"/>
      <c r="AC57" s="134"/>
      <c r="AD57" s="134"/>
      <c r="AE57" s="134"/>
      <c r="AF57" s="134"/>
      <c r="AG57" s="130"/>
      <c r="AH57" s="151"/>
      <c r="AI57" s="159">
        <f t="shared" ref="AI57" si="48">SUM(D57:AH57)</f>
        <v>0</v>
      </c>
      <c r="AJ57" s="86">
        <f>SUMIF(D59:AH59, "LL", D57:AH57) + SUMIF(D59:AH59, "LL", D58:AH58)</f>
        <v>0</v>
      </c>
      <c r="AK57" s="7"/>
      <c r="AL57" s="7"/>
      <c r="AM57" s="99">
        <f>SUMIF(D59:AH59, "CO", D57:AH57) + SUMIF(D59:AH59, "CO", D58:AH58)</f>
        <v>0</v>
      </c>
      <c r="AN57" s="59">
        <f ca="1">SUM(AI57:CA57)</f>
        <v>0</v>
      </c>
      <c r="AO57" s="5"/>
      <c r="AP57" s="73"/>
      <c r="AQ57" s="129"/>
      <c r="AR57" s="5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114"/>
      <c r="BN57" s="114"/>
      <c r="BO57"/>
      <c r="BP57"/>
      <c r="BQ57"/>
      <c r="BR57"/>
      <c r="BS57"/>
      <c r="BT57"/>
      <c r="BU57"/>
      <c r="BV57"/>
      <c r="BW57"/>
      <c r="BX57"/>
      <c r="BY57"/>
      <c r="BZ57"/>
      <c r="CA57"/>
      <c r="CD57" s="83">
        <f t="shared" si="26"/>
        <v>0</v>
      </c>
      <c r="CE57" s="66">
        <f t="shared" si="27"/>
        <v>0</v>
      </c>
      <c r="CF57" s="83">
        <f t="shared" si="28"/>
        <v>0</v>
      </c>
      <c r="CG57" s="65">
        <f t="shared" si="29"/>
        <v>0</v>
      </c>
      <c r="CH57" s="83">
        <f t="shared" si="30"/>
        <v>0</v>
      </c>
      <c r="CI57" s="65">
        <f t="shared" si="31"/>
        <v>0</v>
      </c>
      <c r="CJ57" s="83">
        <f t="shared" si="32"/>
        <v>0</v>
      </c>
      <c r="CK57" s="65">
        <f t="shared" si="33"/>
        <v>0</v>
      </c>
      <c r="CL57" s="83">
        <f t="shared" si="34"/>
        <v>0</v>
      </c>
      <c r="CM57" s="83">
        <f t="shared" si="35"/>
        <v>0</v>
      </c>
      <c r="CN57" s="111">
        <f t="shared" si="36"/>
        <v>0</v>
      </c>
      <c r="CO57" s="111">
        <f t="shared" si="37"/>
        <v>0</v>
      </c>
      <c r="CP57" s="111">
        <f t="shared" si="38"/>
        <v>0</v>
      </c>
      <c r="CQ57" s="111">
        <f t="shared" si="39"/>
        <v>0</v>
      </c>
      <c r="CR57"/>
      <c r="CS57" s="83">
        <f t="shared" si="41"/>
        <v>0</v>
      </c>
      <c r="CT57" s="83">
        <f t="shared" si="42"/>
        <v>0</v>
      </c>
      <c r="CU57" s="83">
        <f t="shared" si="43"/>
        <v>0</v>
      </c>
      <c r="CV57" s="111">
        <v>0</v>
      </c>
      <c r="CW57" s="111">
        <v>0</v>
      </c>
      <c r="CX57" s="111">
        <v>0</v>
      </c>
      <c r="CY57" s="111">
        <v>0</v>
      </c>
      <c r="CZ57"/>
      <c r="DA57"/>
      <c r="DB57"/>
      <c r="DC57"/>
      <c r="DD57"/>
      <c r="DE57"/>
    </row>
    <row r="58" spans="1:109" s="49" customFormat="1" ht="21" x14ac:dyDescent="0.25">
      <c r="A58" s="154"/>
      <c r="B58" s="139"/>
      <c r="C58" s="3" t="s">
        <v>12</v>
      </c>
      <c r="D58" s="137"/>
      <c r="E58" s="137"/>
      <c r="F58" s="131"/>
      <c r="G58" s="133"/>
      <c r="H58" s="135"/>
      <c r="I58" s="135"/>
      <c r="J58" s="131"/>
      <c r="K58" s="131"/>
      <c r="L58" s="131"/>
      <c r="M58" s="131"/>
      <c r="N58" s="133"/>
      <c r="O58" s="135"/>
      <c r="P58" s="135"/>
      <c r="Q58" s="131"/>
      <c r="R58" s="131"/>
      <c r="S58" s="131"/>
      <c r="T58" s="148"/>
      <c r="U58" s="133"/>
      <c r="V58" s="135"/>
      <c r="W58" s="135"/>
      <c r="X58" s="131"/>
      <c r="Y58" s="131"/>
      <c r="Z58" s="133"/>
      <c r="AA58" s="133"/>
      <c r="AB58" s="131"/>
      <c r="AC58" s="135"/>
      <c r="AD58" s="135"/>
      <c r="AE58" s="135"/>
      <c r="AF58" s="135"/>
      <c r="AG58" s="131"/>
      <c r="AH58" s="152"/>
      <c r="AI58" s="160"/>
      <c r="AJ58" s="11"/>
      <c r="AK58" s="7"/>
      <c r="AL58" s="7"/>
      <c r="AM58" s="11"/>
      <c r="AN58" s="59"/>
      <c r="AO58" s="5"/>
      <c r="AP58" s="78"/>
      <c r="AQ58" s="129"/>
      <c r="AR58" s="5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/>
      <c r="BP58"/>
      <c r="BQ58"/>
      <c r="BR58"/>
      <c r="BS58"/>
      <c r="BT58"/>
      <c r="BU58"/>
      <c r="BV58"/>
      <c r="BW58"/>
      <c r="BX58"/>
      <c r="BY58"/>
      <c r="BZ58"/>
      <c r="CA58"/>
      <c r="CD58" s="83">
        <f t="shared" si="26"/>
        <v>0</v>
      </c>
      <c r="CE58" s="66">
        <f t="shared" si="27"/>
        <v>0</v>
      </c>
      <c r="CF58" s="83">
        <f t="shared" si="28"/>
        <v>0</v>
      </c>
      <c r="CG58" s="65">
        <f t="shared" si="29"/>
        <v>0</v>
      </c>
      <c r="CH58" s="83">
        <f t="shared" si="30"/>
        <v>0</v>
      </c>
      <c r="CI58" s="65">
        <f t="shared" si="31"/>
        <v>0</v>
      </c>
      <c r="CJ58" s="83">
        <f t="shared" si="32"/>
        <v>0</v>
      </c>
      <c r="CK58" s="65">
        <f t="shared" si="33"/>
        <v>0</v>
      </c>
      <c r="CL58" s="83">
        <f t="shared" si="34"/>
        <v>0</v>
      </c>
      <c r="CM58" s="83">
        <f t="shared" si="35"/>
        <v>0</v>
      </c>
      <c r="CN58" s="111">
        <f t="shared" si="36"/>
        <v>0</v>
      </c>
      <c r="CO58" s="111">
        <f t="shared" si="37"/>
        <v>0</v>
      </c>
      <c r="CP58" s="111">
        <f t="shared" si="38"/>
        <v>0</v>
      </c>
      <c r="CQ58" s="111">
        <f t="shared" si="39"/>
        <v>0</v>
      </c>
      <c r="CR58"/>
      <c r="CS58" s="83">
        <f t="shared" ca="1" si="41"/>
        <v>0</v>
      </c>
      <c r="CT58" s="83">
        <f t="shared" ca="1" si="42"/>
        <v>0</v>
      </c>
      <c r="CU58" s="83">
        <f t="shared" ca="1" si="43"/>
        <v>0</v>
      </c>
      <c r="CV58" s="111">
        <v>0</v>
      </c>
      <c r="CW58" s="111">
        <v>0</v>
      </c>
      <c r="CX58" s="111">
        <v>0</v>
      </c>
      <c r="CY58" s="111">
        <v>0</v>
      </c>
      <c r="CZ58"/>
      <c r="DA58"/>
      <c r="DB58"/>
      <c r="DC58"/>
      <c r="DD58"/>
      <c r="DE58"/>
    </row>
    <row r="59" spans="1:109" s="49" customFormat="1" ht="22" thickBot="1" x14ac:dyDescent="0.3">
      <c r="A59" s="155"/>
      <c r="B59" s="140"/>
      <c r="C59" s="92" t="s">
        <v>4</v>
      </c>
      <c r="D59" s="88"/>
      <c r="E59" s="88"/>
      <c r="F59" s="88"/>
      <c r="G59" s="89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90"/>
      <c r="AI59" s="36"/>
      <c r="AJ59" s="34"/>
      <c r="AK59" s="7"/>
      <c r="AL59" s="7"/>
      <c r="AM59" s="34"/>
      <c r="AN59" s="59"/>
      <c r="AO59" s="5"/>
      <c r="AP59" s="78"/>
      <c r="AQ59" s="129"/>
      <c r="AR59" s="5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/>
      <c r="BP59"/>
      <c r="BQ59"/>
      <c r="BR59"/>
      <c r="BS59"/>
      <c r="BT59"/>
      <c r="BU59"/>
      <c r="BV59"/>
      <c r="BW59"/>
      <c r="BX59"/>
      <c r="BY59"/>
      <c r="BZ59"/>
      <c r="CA59"/>
      <c r="CD59" s="83">
        <f t="shared" si="26"/>
        <v>0</v>
      </c>
      <c r="CE59" s="66">
        <f t="shared" si="27"/>
        <v>0</v>
      </c>
      <c r="CF59" s="83">
        <f t="shared" si="28"/>
        <v>0</v>
      </c>
      <c r="CG59" s="65">
        <f t="shared" si="29"/>
        <v>0</v>
      </c>
      <c r="CH59" s="83">
        <f t="shared" si="30"/>
        <v>0</v>
      </c>
      <c r="CI59" s="65">
        <f t="shared" si="31"/>
        <v>0</v>
      </c>
      <c r="CJ59" s="83">
        <f t="shared" si="32"/>
        <v>0</v>
      </c>
      <c r="CK59" s="65">
        <f t="shared" si="33"/>
        <v>0</v>
      </c>
      <c r="CL59" s="83">
        <f t="shared" si="34"/>
        <v>0</v>
      </c>
      <c r="CM59" s="83">
        <f t="shared" si="35"/>
        <v>0</v>
      </c>
      <c r="CN59" s="111">
        <f t="shared" si="36"/>
        <v>0</v>
      </c>
      <c r="CO59" s="111">
        <f t="shared" si="37"/>
        <v>0</v>
      </c>
      <c r="CP59" s="111">
        <f t="shared" si="38"/>
        <v>0</v>
      </c>
      <c r="CQ59" s="111">
        <f t="shared" si="39"/>
        <v>0</v>
      </c>
      <c r="CR59"/>
      <c r="CS59" s="83">
        <f t="shared" si="41"/>
        <v>0</v>
      </c>
      <c r="CT59" s="83">
        <f t="shared" si="42"/>
        <v>0</v>
      </c>
      <c r="CU59" s="83">
        <f t="shared" si="43"/>
        <v>0</v>
      </c>
      <c r="CV59" s="111">
        <v>0</v>
      </c>
      <c r="CW59" s="111">
        <v>0</v>
      </c>
      <c r="CX59" s="111">
        <v>0</v>
      </c>
      <c r="CY59" s="111">
        <v>0</v>
      </c>
      <c r="CZ59"/>
      <c r="DA59"/>
      <c r="DB59"/>
      <c r="DC59"/>
      <c r="DD59"/>
      <c r="DE59"/>
    </row>
    <row r="60" spans="1:109" s="49" customFormat="1" ht="19" customHeight="1" thickTop="1" x14ac:dyDescent="0.25">
      <c r="A60" s="153">
        <v>18</v>
      </c>
      <c r="B60" s="138"/>
      <c r="C60" s="91" t="s">
        <v>11</v>
      </c>
      <c r="D60" s="136"/>
      <c r="E60" s="136"/>
      <c r="F60" s="130"/>
      <c r="G60" s="132"/>
      <c r="H60" s="134"/>
      <c r="I60" s="134"/>
      <c r="J60" s="130"/>
      <c r="K60" s="130"/>
      <c r="L60" s="130"/>
      <c r="M60" s="130"/>
      <c r="N60" s="132"/>
      <c r="O60" s="134"/>
      <c r="P60" s="134"/>
      <c r="Q60" s="130"/>
      <c r="R60" s="130"/>
      <c r="S60" s="130"/>
      <c r="T60" s="147"/>
      <c r="U60" s="132"/>
      <c r="V60" s="134"/>
      <c r="W60" s="134"/>
      <c r="X60" s="130"/>
      <c r="Y60" s="130"/>
      <c r="Z60" s="132"/>
      <c r="AA60" s="132"/>
      <c r="AB60" s="130"/>
      <c r="AC60" s="134"/>
      <c r="AD60" s="134"/>
      <c r="AE60" s="134"/>
      <c r="AF60" s="134"/>
      <c r="AG60" s="130"/>
      <c r="AH60" s="151"/>
      <c r="AI60" s="159">
        <f t="shared" ref="AI60" si="49">SUM(D60:AH60)</f>
        <v>0</v>
      </c>
      <c r="AJ60" s="87">
        <f>SUMIF(D62:AH62, "LL", D60:AH60) + SUMIF(D62:AH62, "LL", D61:AH61)</f>
        <v>0</v>
      </c>
      <c r="AK60" s="7"/>
      <c r="AL60" s="7"/>
      <c r="AM60" s="100">
        <f>SUMIF(D62:AH62, "CO", D60:AH60) + SUMIF(D62:AH62, "CO", D61:AH61)</f>
        <v>0</v>
      </c>
      <c r="AN60" s="59">
        <f ca="1">SUM(AI60:CA60)</f>
        <v>0</v>
      </c>
      <c r="AO60" s="5"/>
      <c r="AP60" s="73"/>
      <c r="AQ60" s="129"/>
      <c r="AR60" s="5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/>
      <c r="BP60"/>
      <c r="BQ60"/>
      <c r="BR60"/>
      <c r="BS60"/>
      <c r="BT60"/>
      <c r="BU60"/>
      <c r="BV60"/>
      <c r="BW60"/>
      <c r="BX60"/>
      <c r="BY60"/>
      <c r="BZ60"/>
      <c r="CA60"/>
      <c r="CD60" s="83">
        <f t="shared" si="26"/>
        <v>0</v>
      </c>
      <c r="CE60" s="66">
        <f t="shared" si="27"/>
        <v>0</v>
      </c>
      <c r="CF60" s="83">
        <f t="shared" si="28"/>
        <v>0</v>
      </c>
      <c r="CG60" s="65">
        <f t="shared" si="29"/>
        <v>0</v>
      </c>
      <c r="CH60" s="83">
        <f t="shared" si="30"/>
        <v>0</v>
      </c>
      <c r="CI60" s="65">
        <f t="shared" si="31"/>
        <v>0</v>
      </c>
      <c r="CJ60" s="83">
        <f t="shared" si="32"/>
        <v>0</v>
      </c>
      <c r="CK60" s="65">
        <f t="shared" si="33"/>
        <v>0</v>
      </c>
      <c r="CL60" s="83">
        <f t="shared" si="34"/>
        <v>0</v>
      </c>
      <c r="CM60" s="83">
        <f t="shared" si="35"/>
        <v>0</v>
      </c>
      <c r="CN60" s="111">
        <f t="shared" si="36"/>
        <v>0</v>
      </c>
      <c r="CO60" s="111">
        <f t="shared" si="37"/>
        <v>0</v>
      </c>
      <c r="CP60" s="111">
        <f t="shared" si="38"/>
        <v>0</v>
      </c>
      <c r="CQ60" s="111">
        <f t="shared" si="39"/>
        <v>0</v>
      </c>
      <c r="CR60"/>
      <c r="CS60" s="83">
        <f t="shared" si="41"/>
        <v>0</v>
      </c>
      <c r="CT60" s="83">
        <f t="shared" si="42"/>
        <v>0</v>
      </c>
      <c r="CU60" s="83">
        <f t="shared" si="43"/>
        <v>0</v>
      </c>
      <c r="CV60" s="111">
        <v>0</v>
      </c>
      <c r="CW60" s="111">
        <v>0</v>
      </c>
      <c r="CX60" s="111">
        <v>0</v>
      </c>
      <c r="CY60" s="111">
        <v>0</v>
      </c>
      <c r="CZ60"/>
      <c r="DA60"/>
      <c r="DB60"/>
      <c r="DC60"/>
      <c r="DD60"/>
      <c r="DE60"/>
    </row>
    <row r="61" spans="1:109" s="49" customFormat="1" ht="21" x14ac:dyDescent="0.25">
      <c r="A61" s="154"/>
      <c r="B61" s="139"/>
      <c r="C61" s="3" t="s">
        <v>12</v>
      </c>
      <c r="D61" s="137"/>
      <c r="E61" s="137"/>
      <c r="F61" s="131"/>
      <c r="G61" s="133"/>
      <c r="H61" s="135"/>
      <c r="I61" s="135"/>
      <c r="J61" s="131"/>
      <c r="K61" s="131"/>
      <c r="L61" s="131"/>
      <c r="M61" s="131"/>
      <c r="N61" s="133"/>
      <c r="O61" s="135"/>
      <c r="P61" s="135"/>
      <c r="Q61" s="131"/>
      <c r="R61" s="131"/>
      <c r="S61" s="131"/>
      <c r="T61" s="148"/>
      <c r="U61" s="133"/>
      <c r="V61" s="135"/>
      <c r="W61" s="135"/>
      <c r="X61" s="131"/>
      <c r="Y61" s="131"/>
      <c r="Z61" s="133"/>
      <c r="AA61" s="133"/>
      <c r="AB61" s="131"/>
      <c r="AC61" s="135"/>
      <c r="AD61" s="135"/>
      <c r="AE61" s="135"/>
      <c r="AF61" s="135"/>
      <c r="AG61" s="131"/>
      <c r="AH61" s="152"/>
      <c r="AI61" s="160"/>
      <c r="AJ61" s="11"/>
      <c r="AK61" s="7"/>
      <c r="AL61" s="7"/>
      <c r="AM61" s="11"/>
      <c r="AN61" s="59"/>
      <c r="AO61" s="5"/>
      <c r="AP61" s="78"/>
      <c r="AQ61" s="129"/>
      <c r="AR61" s="5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14"/>
      <c r="BG61" s="114"/>
      <c r="BH61" s="114"/>
      <c r="BI61" s="114"/>
      <c r="BJ61" s="114"/>
      <c r="BK61" s="114"/>
      <c r="BL61" s="114"/>
      <c r="BM61" s="114"/>
      <c r="BN61" s="114"/>
      <c r="BO61"/>
      <c r="BP61"/>
      <c r="BQ61"/>
      <c r="BR61"/>
      <c r="BS61"/>
      <c r="BT61"/>
      <c r="BU61"/>
      <c r="BV61"/>
      <c r="BW61"/>
      <c r="BX61"/>
      <c r="BY61"/>
      <c r="BZ61"/>
      <c r="CA61"/>
      <c r="CD61" s="83">
        <f t="shared" si="26"/>
        <v>0</v>
      </c>
      <c r="CE61" s="66">
        <f t="shared" si="27"/>
        <v>0</v>
      </c>
      <c r="CF61" s="83">
        <f t="shared" si="28"/>
        <v>0</v>
      </c>
      <c r="CG61" s="65">
        <f t="shared" si="29"/>
        <v>0</v>
      </c>
      <c r="CH61" s="83">
        <f t="shared" si="30"/>
        <v>0</v>
      </c>
      <c r="CI61" s="65">
        <f t="shared" si="31"/>
        <v>0</v>
      </c>
      <c r="CJ61" s="83">
        <f t="shared" si="32"/>
        <v>0</v>
      </c>
      <c r="CK61" s="65">
        <f t="shared" si="33"/>
        <v>0</v>
      </c>
      <c r="CL61" s="83">
        <f t="shared" si="34"/>
        <v>0</v>
      </c>
      <c r="CM61" s="83">
        <f t="shared" si="35"/>
        <v>0</v>
      </c>
      <c r="CN61" s="111">
        <f t="shared" si="36"/>
        <v>0</v>
      </c>
      <c r="CO61" s="111">
        <f t="shared" si="37"/>
        <v>0</v>
      </c>
      <c r="CP61" s="111">
        <f t="shared" si="38"/>
        <v>0</v>
      </c>
      <c r="CQ61" s="111">
        <f t="shared" si="39"/>
        <v>0</v>
      </c>
      <c r="CR61"/>
      <c r="CS61" s="83">
        <f t="shared" ca="1" si="41"/>
        <v>0</v>
      </c>
      <c r="CT61" s="83">
        <f t="shared" ca="1" si="42"/>
        <v>0</v>
      </c>
      <c r="CU61" s="83">
        <f t="shared" ca="1" si="43"/>
        <v>0</v>
      </c>
      <c r="CV61" s="111">
        <v>0</v>
      </c>
      <c r="CW61" s="111">
        <v>0</v>
      </c>
      <c r="CX61" s="111">
        <v>0</v>
      </c>
      <c r="CY61" s="111">
        <v>0</v>
      </c>
      <c r="CZ61"/>
      <c r="DA61"/>
      <c r="DB61"/>
      <c r="DC61"/>
      <c r="DD61"/>
      <c r="DE61"/>
    </row>
    <row r="62" spans="1:109" s="49" customFormat="1" ht="22" thickBot="1" x14ac:dyDescent="0.3">
      <c r="A62" s="155"/>
      <c r="B62" s="140"/>
      <c r="C62" s="92" t="s">
        <v>4</v>
      </c>
      <c r="D62" s="88"/>
      <c r="E62" s="88"/>
      <c r="F62" s="88"/>
      <c r="G62" s="89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90"/>
      <c r="AI62" s="36"/>
      <c r="AJ62" s="34"/>
      <c r="AK62" s="7"/>
      <c r="AL62" s="7"/>
      <c r="AM62" s="34"/>
      <c r="AN62" s="59"/>
      <c r="AO62" s="5"/>
      <c r="AP62" s="78"/>
      <c r="AQ62" s="129"/>
      <c r="AR62" s="5"/>
      <c r="AS62" s="11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4"/>
      <c r="BD62" s="114"/>
      <c r="BE62" s="114"/>
      <c r="BF62" s="114"/>
      <c r="BG62" s="114"/>
      <c r="BH62" s="114"/>
      <c r="BI62" s="114"/>
      <c r="BJ62" s="114"/>
      <c r="BK62" s="114"/>
      <c r="BL62" s="114"/>
      <c r="BM62" s="114"/>
      <c r="BN62" s="114"/>
      <c r="BO62"/>
      <c r="BP62"/>
      <c r="BQ62"/>
      <c r="BR62"/>
      <c r="BS62"/>
      <c r="BT62"/>
      <c r="BU62"/>
      <c r="BV62"/>
      <c r="BW62"/>
      <c r="BX62"/>
      <c r="BY62"/>
      <c r="BZ62"/>
      <c r="CA62"/>
      <c r="CD62" s="83">
        <f t="shared" si="26"/>
        <v>0</v>
      </c>
      <c r="CE62" s="66">
        <f t="shared" si="27"/>
        <v>0</v>
      </c>
      <c r="CF62" s="83">
        <f t="shared" si="28"/>
        <v>0</v>
      </c>
      <c r="CG62" s="65">
        <f t="shared" si="29"/>
        <v>0</v>
      </c>
      <c r="CH62" s="83">
        <f t="shared" si="30"/>
        <v>0</v>
      </c>
      <c r="CI62" s="65">
        <f t="shared" si="31"/>
        <v>0</v>
      </c>
      <c r="CJ62" s="83">
        <f t="shared" si="32"/>
        <v>0</v>
      </c>
      <c r="CK62" s="65">
        <f t="shared" si="33"/>
        <v>0</v>
      </c>
      <c r="CL62" s="83">
        <f t="shared" si="34"/>
        <v>0</v>
      </c>
      <c r="CM62" s="83">
        <f t="shared" si="35"/>
        <v>0</v>
      </c>
      <c r="CN62" s="111">
        <f t="shared" si="36"/>
        <v>0</v>
      </c>
      <c r="CO62" s="111">
        <f t="shared" si="37"/>
        <v>0</v>
      </c>
      <c r="CP62" s="111">
        <f t="shared" si="38"/>
        <v>0</v>
      </c>
      <c r="CQ62" s="111">
        <f t="shared" si="39"/>
        <v>0</v>
      </c>
      <c r="CR62"/>
      <c r="CS62" s="83">
        <f t="shared" si="41"/>
        <v>0</v>
      </c>
      <c r="CT62" s="83">
        <f t="shared" si="42"/>
        <v>0</v>
      </c>
      <c r="CU62" s="83">
        <f t="shared" si="43"/>
        <v>0</v>
      </c>
      <c r="CV62" s="111">
        <v>0</v>
      </c>
      <c r="CW62" s="111">
        <v>0</v>
      </c>
      <c r="CX62" s="111">
        <v>0</v>
      </c>
      <c r="CY62" s="111">
        <v>0</v>
      </c>
      <c r="CZ62"/>
      <c r="DA62"/>
      <c r="DB62"/>
      <c r="DC62"/>
      <c r="DD62"/>
      <c r="DE62"/>
    </row>
    <row r="63" spans="1:109" s="49" customFormat="1" ht="19" customHeight="1" thickTop="1" x14ac:dyDescent="0.25">
      <c r="A63" s="153">
        <v>19</v>
      </c>
      <c r="B63" s="138"/>
      <c r="C63" s="91" t="s">
        <v>11</v>
      </c>
      <c r="D63" s="136"/>
      <c r="E63" s="136"/>
      <c r="F63" s="130"/>
      <c r="G63" s="132"/>
      <c r="H63" s="134"/>
      <c r="I63" s="134"/>
      <c r="J63" s="130"/>
      <c r="K63" s="130"/>
      <c r="L63" s="130"/>
      <c r="M63" s="130"/>
      <c r="N63" s="132"/>
      <c r="O63" s="134"/>
      <c r="P63" s="134"/>
      <c r="Q63" s="130"/>
      <c r="R63" s="130"/>
      <c r="S63" s="130"/>
      <c r="T63" s="147"/>
      <c r="U63" s="132"/>
      <c r="V63" s="134"/>
      <c r="W63" s="134"/>
      <c r="X63" s="130"/>
      <c r="Y63" s="130"/>
      <c r="Z63" s="132"/>
      <c r="AA63" s="132"/>
      <c r="AB63" s="130"/>
      <c r="AC63" s="134"/>
      <c r="AD63" s="134"/>
      <c r="AE63" s="134"/>
      <c r="AF63" s="134"/>
      <c r="AG63" s="130"/>
      <c r="AH63" s="151"/>
      <c r="AI63" s="159">
        <f t="shared" ref="AI63" si="50">SUM(D63:AH63)</f>
        <v>0</v>
      </c>
      <c r="AJ63" s="86">
        <f>SUMIF(D65:AH65, "LL", D63:AH63) + SUMIF(D65:AH65, "LL", D64:AH64)</f>
        <v>0</v>
      </c>
      <c r="AK63" s="7"/>
      <c r="AL63" s="7"/>
      <c r="AM63" s="99">
        <f>SUMIF(D65:AH65, "CO", D63:AH63) + SUMIF(D65:AH65, "CO", D64:AH64)</f>
        <v>0</v>
      </c>
      <c r="AN63" s="59">
        <f ca="1">SUM(AI63:CA63)</f>
        <v>0</v>
      </c>
      <c r="AO63" s="5"/>
      <c r="AP63" s="73"/>
      <c r="AQ63" s="129"/>
      <c r="AR63" s="5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4"/>
      <c r="BJ63" s="114"/>
      <c r="BK63" s="114"/>
      <c r="BL63" s="114"/>
      <c r="BM63" s="114"/>
      <c r="BN63" s="114"/>
      <c r="BO63"/>
      <c r="BP63"/>
      <c r="BQ63"/>
      <c r="BR63"/>
      <c r="BS63"/>
      <c r="BT63"/>
      <c r="BU63"/>
      <c r="BV63"/>
      <c r="BW63"/>
      <c r="BX63"/>
      <c r="BY63"/>
      <c r="BZ63"/>
      <c r="CA63"/>
      <c r="CD63" s="83">
        <f t="shared" si="26"/>
        <v>0</v>
      </c>
      <c r="CE63" s="66">
        <f t="shared" si="27"/>
        <v>0</v>
      </c>
      <c r="CF63" s="83">
        <f t="shared" si="28"/>
        <v>0</v>
      </c>
      <c r="CG63" s="65">
        <f t="shared" si="29"/>
        <v>0</v>
      </c>
      <c r="CH63" s="83">
        <f t="shared" si="30"/>
        <v>0</v>
      </c>
      <c r="CI63" s="65">
        <f t="shared" si="31"/>
        <v>0</v>
      </c>
      <c r="CJ63" s="83">
        <f t="shared" si="32"/>
        <v>0</v>
      </c>
      <c r="CK63" s="65">
        <f t="shared" si="33"/>
        <v>0</v>
      </c>
      <c r="CL63" s="83">
        <f t="shared" si="34"/>
        <v>0</v>
      </c>
      <c r="CM63" s="83">
        <f t="shared" si="35"/>
        <v>0</v>
      </c>
      <c r="CN63" s="111">
        <f t="shared" si="36"/>
        <v>0</v>
      </c>
      <c r="CO63" s="111">
        <f t="shared" si="37"/>
        <v>0</v>
      </c>
      <c r="CP63" s="111">
        <f t="shared" si="38"/>
        <v>0</v>
      </c>
      <c r="CQ63" s="111">
        <f t="shared" si="39"/>
        <v>0</v>
      </c>
      <c r="CR63"/>
      <c r="CS63" s="83">
        <f t="shared" si="41"/>
        <v>0</v>
      </c>
      <c r="CT63" s="83">
        <f t="shared" si="42"/>
        <v>0</v>
      </c>
      <c r="CU63" s="83">
        <f t="shared" si="43"/>
        <v>0</v>
      </c>
      <c r="CV63" s="111">
        <v>0</v>
      </c>
      <c r="CW63" s="111">
        <v>0</v>
      </c>
      <c r="CX63" s="111">
        <v>0</v>
      </c>
      <c r="CY63" s="111">
        <v>0</v>
      </c>
      <c r="CZ63"/>
      <c r="DA63"/>
      <c r="DB63"/>
      <c r="DC63"/>
      <c r="DD63"/>
      <c r="DE63"/>
    </row>
    <row r="64" spans="1:109" s="49" customFormat="1" ht="21" x14ac:dyDescent="0.25">
      <c r="A64" s="154"/>
      <c r="B64" s="139"/>
      <c r="C64" s="3" t="s">
        <v>12</v>
      </c>
      <c r="D64" s="137"/>
      <c r="E64" s="137"/>
      <c r="F64" s="131"/>
      <c r="G64" s="133"/>
      <c r="H64" s="135"/>
      <c r="I64" s="135"/>
      <c r="J64" s="131"/>
      <c r="K64" s="131"/>
      <c r="L64" s="131"/>
      <c r="M64" s="131"/>
      <c r="N64" s="133"/>
      <c r="O64" s="135"/>
      <c r="P64" s="135"/>
      <c r="Q64" s="131"/>
      <c r="R64" s="131"/>
      <c r="S64" s="131"/>
      <c r="T64" s="148"/>
      <c r="U64" s="133"/>
      <c r="V64" s="135"/>
      <c r="W64" s="135"/>
      <c r="X64" s="131"/>
      <c r="Y64" s="131"/>
      <c r="Z64" s="133"/>
      <c r="AA64" s="133"/>
      <c r="AB64" s="131"/>
      <c r="AC64" s="135"/>
      <c r="AD64" s="135"/>
      <c r="AE64" s="135"/>
      <c r="AF64" s="135"/>
      <c r="AG64" s="131"/>
      <c r="AH64" s="152"/>
      <c r="AI64" s="160"/>
      <c r="AJ64" s="11"/>
      <c r="AK64" s="7"/>
      <c r="AL64" s="7"/>
      <c r="AM64" s="11"/>
      <c r="AN64" s="59"/>
      <c r="AO64" s="5"/>
      <c r="AP64" s="78"/>
      <c r="AQ64" s="129"/>
      <c r="AR64" s="5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  <c r="BK64" s="114"/>
      <c r="BL64" s="114"/>
      <c r="BM64" s="114"/>
      <c r="BN64" s="114"/>
      <c r="BO64"/>
      <c r="BP64"/>
      <c r="BQ64"/>
      <c r="BR64"/>
      <c r="BS64"/>
      <c r="BT64"/>
      <c r="BU64"/>
      <c r="BV64"/>
      <c r="BW64"/>
      <c r="BX64"/>
      <c r="BY64"/>
      <c r="BZ64"/>
      <c r="CA64"/>
      <c r="CD64" s="83">
        <f t="shared" si="26"/>
        <v>0</v>
      </c>
      <c r="CE64" s="66">
        <f t="shared" si="27"/>
        <v>0</v>
      </c>
      <c r="CF64" s="83">
        <f t="shared" si="28"/>
        <v>0</v>
      </c>
      <c r="CG64" s="65">
        <f t="shared" si="29"/>
        <v>0</v>
      </c>
      <c r="CH64" s="83">
        <f t="shared" si="30"/>
        <v>0</v>
      </c>
      <c r="CI64" s="65">
        <f t="shared" si="31"/>
        <v>0</v>
      </c>
      <c r="CJ64" s="83">
        <f t="shared" si="32"/>
        <v>0</v>
      </c>
      <c r="CK64" s="65">
        <f t="shared" si="33"/>
        <v>0</v>
      </c>
      <c r="CL64" s="83">
        <f t="shared" si="34"/>
        <v>0</v>
      </c>
      <c r="CM64" s="83">
        <f t="shared" si="35"/>
        <v>0</v>
      </c>
      <c r="CN64" s="111">
        <f t="shared" si="36"/>
        <v>0</v>
      </c>
      <c r="CO64" s="111">
        <f t="shared" si="37"/>
        <v>0</v>
      </c>
      <c r="CP64" s="111">
        <f t="shared" si="38"/>
        <v>0</v>
      </c>
      <c r="CQ64" s="111">
        <f t="shared" si="39"/>
        <v>0</v>
      </c>
      <c r="CR64"/>
      <c r="CS64" s="83">
        <f t="shared" ca="1" si="41"/>
        <v>0</v>
      </c>
      <c r="CT64" s="83">
        <f t="shared" ca="1" si="42"/>
        <v>0</v>
      </c>
      <c r="CU64" s="83">
        <f t="shared" ca="1" si="43"/>
        <v>0</v>
      </c>
      <c r="CV64" s="111">
        <v>0</v>
      </c>
      <c r="CW64" s="111">
        <v>0</v>
      </c>
      <c r="CX64" s="111">
        <v>0</v>
      </c>
      <c r="CY64" s="111">
        <v>0</v>
      </c>
      <c r="CZ64"/>
      <c r="DA64"/>
      <c r="DB64"/>
      <c r="DC64"/>
      <c r="DD64"/>
      <c r="DE64"/>
    </row>
    <row r="65" spans="1:109" s="49" customFormat="1" ht="22" thickBot="1" x14ac:dyDescent="0.3">
      <c r="A65" s="155"/>
      <c r="B65" s="140"/>
      <c r="C65" s="92" t="s">
        <v>4</v>
      </c>
      <c r="D65" s="88"/>
      <c r="E65" s="88"/>
      <c r="F65" s="88"/>
      <c r="G65" s="89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90"/>
      <c r="AI65" s="36"/>
      <c r="AJ65" s="34"/>
      <c r="AK65" s="7"/>
      <c r="AL65" s="7"/>
      <c r="AM65" s="34"/>
      <c r="AN65" s="59"/>
      <c r="AO65" s="5"/>
      <c r="AP65" s="78"/>
      <c r="AQ65" s="129"/>
      <c r="AR65" s="5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/>
      <c r="BP65"/>
      <c r="BQ65"/>
      <c r="BR65"/>
      <c r="BS65"/>
      <c r="BT65"/>
      <c r="BU65"/>
      <c r="BV65"/>
      <c r="BW65"/>
      <c r="BX65"/>
      <c r="BY65"/>
      <c r="BZ65"/>
      <c r="CA65"/>
      <c r="CD65" s="83">
        <f t="shared" si="26"/>
        <v>0</v>
      </c>
      <c r="CE65" s="66">
        <f t="shared" si="27"/>
        <v>0</v>
      </c>
      <c r="CF65" s="83">
        <f t="shared" si="28"/>
        <v>0</v>
      </c>
      <c r="CG65" s="65">
        <f t="shared" si="29"/>
        <v>0</v>
      </c>
      <c r="CH65" s="83">
        <f t="shared" si="30"/>
        <v>0</v>
      </c>
      <c r="CI65" s="65">
        <f t="shared" si="31"/>
        <v>0</v>
      </c>
      <c r="CJ65" s="83">
        <f t="shared" si="32"/>
        <v>0</v>
      </c>
      <c r="CK65" s="65">
        <f t="shared" si="33"/>
        <v>0</v>
      </c>
      <c r="CL65" s="83">
        <f t="shared" si="34"/>
        <v>0</v>
      </c>
      <c r="CM65" s="83">
        <f t="shared" si="35"/>
        <v>0</v>
      </c>
      <c r="CN65" s="111">
        <f t="shared" si="36"/>
        <v>0</v>
      </c>
      <c r="CO65" s="111">
        <f t="shared" si="37"/>
        <v>0</v>
      </c>
      <c r="CP65" s="111">
        <f t="shared" si="38"/>
        <v>0</v>
      </c>
      <c r="CQ65" s="111">
        <f t="shared" si="39"/>
        <v>0</v>
      </c>
      <c r="CR65"/>
      <c r="CS65" s="83">
        <f t="shared" si="41"/>
        <v>0</v>
      </c>
      <c r="CT65" s="83">
        <f t="shared" si="42"/>
        <v>0</v>
      </c>
      <c r="CU65" s="83">
        <f t="shared" si="43"/>
        <v>0</v>
      </c>
      <c r="CV65" s="111">
        <v>0</v>
      </c>
      <c r="CW65" s="111">
        <v>0</v>
      </c>
      <c r="CX65" s="111">
        <v>0</v>
      </c>
      <c r="CY65" s="111">
        <v>0</v>
      </c>
      <c r="CZ65"/>
      <c r="DA65"/>
      <c r="DB65"/>
      <c r="DC65"/>
      <c r="DD65"/>
      <c r="DE65"/>
    </row>
    <row r="66" spans="1:109" s="49" customFormat="1" ht="19" customHeight="1" thickTop="1" x14ac:dyDescent="0.25">
      <c r="A66" s="153">
        <v>20</v>
      </c>
      <c r="B66" s="138"/>
      <c r="C66" s="91" t="s">
        <v>11</v>
      </c>
      <c r="D66" s="136"/>
      <c r="E66" s="136"/>
      <c r="F66" s="130"/>
      <c r="G66" s="132"/>
      <c r="H66" s="134"/>
      <c r="I66" s="134"/>
      <c r="J66" s="130"/>
      <c r="K66" s="130"/>
      <c r="L66" s="130"/>
      <c r="M66" s="130"/>
      <c r="N66" s="132"/>
      <c r="O66" s="134"/>
      <c r="P66" s="134"/>
      <c r="Q66" s="130"/>
      <c r="R66" s="130"/>
      <c r="S66" s="130"/>
      <c r="T66" s="147"/>
      <c r="U66" s="132"/>
      <c r="V66" s="134"/>
      <c r="W66" s="134"/>
      <c r="X66" s="130"/>
      <c r="Y66" s="130"/>
      <c r="Z66" s="132"/>
      <c r="AA66" s="132"/>
      <c r="AB66" s="130"/>
      <c r="AC66" s="134"/>
      <c r="AD66" s="134"/>
      <c r="AE66" s="134"/>
      <c r="AF66" s="134"/>
      <c r="AG66" s="130"/>
      <c r="AH66" s="151"/>
      <c r="AI66" s="159">
        <f>SUM(D66:AH66)</f>
        <v>0</v>
      </c>
      <c r="AJ66" s="87">
        <f>SUMIF(D68:AH68, "LL", D66:AH66) + SUMIF(D68:AH68, "LL", D67:AH67)</f>
        <v>0</v>
      </c>
      <c r="AK66" s="7"/>
      <c r="AL66" s="7"/>
      <c r="AM66" s="100">
        <f>SUMIF(D68:AH68, "CO", D66:AH66) + SUMIF(D68:AH68, "CO", D67:AH67)</f>
        <v>0</v>
      </c>
      <c r="AN66" s="59">
        <f ca="1">SUM(AI66:CA66)</f>
        <v>0</v>
      </c>
      <c r="AO66" s="5"/>
      <c r="AP66" s="73"/>
      <c r="AQ66" s="129"/>
      <c r="AR66" s="5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/>
      <c r="BP66"/>
      <c r="BQ66"/>
      <c r="BR66"/>
      <c r="BS66"/>
      <c r="BT66"/>
      <c r="BU66"/>
      <c r="BV66"/>
      <c r="BW66"/>
      <c r="BX66"/>
      <c r="BY66"/>
      <c r="BZ66"/>
      <c r="CA66"/>
      <c r="CD66" s="83">
        <f t="shared" si="26"/>
        <v>0</v>
      </c>
      <c r="CE66" s="66">
        <f t="shared" si="27"/>
        <v>0</v>
      </c>
      <c r="CF66" s="83">
        <f t="shared" si="28"/>
        <v>0</v>
      </c>
      <c r="CG66" s="65">
        <f t="shared" si="29"/>
        <v>0</v>
      </c>
      <c r="CH66" s="83">
        <f t="shared" si="30"/>
        <v>0</v>
      </c>
      <c r="CI66" s="65">
        <f t="shared" si="31"/>
        <v>0</v>
      </c>
      <c r="CJ66" s="83">
        <f t="shared" si="32"/>
        <v>0</v>
      </c>
      <c r="CK66" s="65">
        <f t="shared" si="33"/>
        <v>0</v>
      </c>
      <c r="CL66" s="83">
        <f t="shared" si="34"/>
        <v>0</v>
      </c>
      <c r="CM66" s="83">
        <f t="shared" si="35"/>
        <v>0</v>
      </c>
      <c r="CN66" s="111">
        <f t="shared" si="36"/>
        <v>0</v>
      </c>
      <c r="CO66" s="111">
        <f t="shared" si="37"/>
        <v>0</v>
      </c>
      <c r="CP66" s="111">
        <f t="shared" si="38"/>
        <v>0</v>
      </c>
      <c r="CQ66" s="111">
        <f t="shared" si="39"/>
        <v>0</v>
      </c>
      <c r="CR66"/>
      <c r="CS66" s="83">
        <f t="shared" si="41"/>
        <v>0</v>
      </c>
      <c r="CT66" s="83">
        <f t="shared" si="42"/>
        <v>0</v>
      </c>
      <c r="CU66" s="83">
        <f t="shared" si="43"/>
        <v>0</v>
      </c>
      <c r="CV66" s="111">
        <v>0</v>
      </c>
      <c r="CW66" s="111">
        <v>0</v>
      </c>
      <c r="CX66" s="111">
        <v>0</v>
      </c>
      <c r="CY66" s="111">
        <v>0</v>
      </c>
      <c r="CZ66"/>
      <c r="DA66"/>
      <c r="DB66"/>
      <c r="DC66"/>
      <c r="DD66"/>
      <c r="DE66"/>
    </row>
    <row r="67" spans="1:109" s="49" customFormat="1" ht="21" x14ac:dyDescent="0.25">
      <c r="A67" s="154"/>
      <c r="B67" s="139"/>
      <c r="C67" s="3" t="s">
        <v>12</v>
      </c>
      <c r="D67" s="137"/>
      <c r="E67" s="137"/>
      <c r="F67" s="131"/>
      <c r="G67" s="133"/>
      <c r="H67" s="135"/>
      <c r="I67" s="135"/>
      <c r="J67" s="131"/>
      <c r="K67" s="131"/>
      <c r="L67" s="131"/>
      <c r="M67" s="131"/>
      <c r="N67" s="133"/>
      <c r="O67" s="135"/>
      <c r="P67" s="135"/>
      <c r="Q67" s="131"/>
      <c r="R67" s="131"/>
      <c r="S67" s="131"/>
      <c r="T67" s="148"/>
      <c r="U67" s="133"/>
      <c r="V67" s="135"/>
      <c r="W67" s="135"/>
      <c r="X67" s="131"/>
      <c r="Y67" s="131"/>
      <c r="Z67" s="133"/>
      <c r="AA67" s="133"/>
      <c r="AB67" s="131"/>
      <c r="AC67" s="135"/>
      <c r="AD67" s="135"/>
      <c r="AE67" s="135"/>
      <c r="AF67" s="135"/>
      <c r="AG67" s="131"/>
      <c r="AH67" s="152"/>
      <c r="AI67" s="160"/>
      <c r="AJ67" s="11"/>
      <c r="AK67" s="7"/>
      <c r="AL67" s="7"/>
      <c r="AM67" s="11"/>
      <c r="AN67" s="59"/>
      <c r="AO67" s="5"/>
      <c r="AP67" s="78"/>
      <c r="AQ67" s="129"/>
      <c r="AR67" s="5"/>
      <c r="AS67" s="114"/>
      <c r="AT67" s="114"/>
      <c r="AU67" s="114"/>
      <c r="AV67" s="114"/>
      <c r="AW67" s="114"/>
      <c r="AX67" s="114"/>
      <c r="AY67" s="114"/>
      <c r="AZ67" s="114"/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/>
      <c r="BP67"/>
      <c r="BQ67"/>
      <c r="BR67"/>
      <c r="BS67"/>
      <c r="BT67"/>
      <c r="BU67"/>
      <c r="BV67"/>
      <c r="BW67"/>
      <c r="BX67"/>
      <c r="BY67"/>
      <c r="BZ67"/>
      <c r="CA67"/>
      <c r="CD67" s="83">
        <f t="shared" si="26"/>
        <v>0</v>
      </c>
      <c r="CE67" s="66">
        <f t="shared" si="27"/>
        <v>0</v>
      </c>
      <c r="CF67" s="83">
        <f t="shared" si="28"/>
        <v>0</v>
      </c>
      <c r="CG67" s="65">
        <f t="shared" si="29"/>
        <v>0</v>
      </c>
      <c r="CH67" s="83">
        <f t="shared" si="30"/>
        <v>0</v>
      </c>
      <c r="CI67" s="65">
        <f t="shared" si="31"/>
        <v>0</v>
      </c>
      <c r="CJ67" s="83">
        <f t="shared" si="32"/>
        <v>0</v>
      </c>
      <c r="CK67" s="65">
        <f t="shared" si="33"/>
        <v>0</v>
      </c>
      <c r="CL67" s="83">
        <f t="shared" si="34"/>
        <v>0</v>
      </c>
      <c r="CM67" s="83">
        <f t="shared" si="35"/>
        <v>0</v>
      </c>
      <c r="CN67" s="111">
        <f t="shared" si="36"/>
        <v>0</v>
      </c>
      <c r="CO67" s="111">
        <f t="shared" si="37"/>
        <v>0</v>
      </c>
      <c r="CP67" s="111">
        <f t="shared" si="38"/>
        <v>0</v>
      </c>
      <c r="CQ67" s="111">
        <f t="shared" si="39"/>
        <v>0</v>
      </c>
      <c r="CR67"/>
      <c r="CS67" s="83">
        <f t="shared" ca="1" si="41"/>
        <v>0</v>
      </c>
      <c r="CT67" s="83">
        <f t="shared" ca="1" si="42"/>
        <v>0</v>
      </c>
      <c r="CU67" s="83">
        <f t="shared" ca="1" si="43"/>
        <v>0</v>
      </c>
      <c r="CV67" s="111">
        <v>0</v>
      </c>
      <c r="CW67" s="111">
        <v>0</v>
      </c>
      <c r="CX67" s="111">
        <v>0</v>
      </c>
      <c r="CY67" s="111">
        <v>0</v>
      </c>
      <c r="CZ67"/>
      <c r="DA67"/>
      <c r="DB67"/>
      <c r="DC67"/>
      <c r="DD67"/>
      <c r="DE67"/>
    </row>
    <row r="68" spans="1:109" s="49" customFormat="1" ht="22" thickBot="1" x14ac:dyDescent="0.3">
      <c r="A68" s="155"/>
      <c r="B68" s="140"/>
      <c r="C68" s="92" t="s">
        <v>4</v>
      </c>
      <c r="D68" s="88"/>
      <c r="E68" s="88"/>
      <c r="F68" s="88"/>
      <c r="G68" s="89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90"/>
      <c r="AI68" s="36"/>
      <c r="AJ68" s="34"/>
      <c r="AK68" s="7"/>
      <c r="AL68" s="7"/>
      <c r="AM68" s="34"/>
      <c r="AN68" s="59"/>
      <c r="AO68" s="5"/>
      <c r="AP68" s="78"/>
      <c r="AQ68" s="129"/>
      <c r="AR68" s="5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/>
      <c r="BP68"/>
      <c r="BQ68"/>
      <c r="BR68"/>
      <c r="BS68"/>
      <c r="BT68"/>
      <c r="BU68"/>
      <c r="BV68"/>
      <c r="BW68"/>
      <c r="BX68"/>
      <c r="BY68"/>
      <c r="BZ68"/>
      <c r="CA68"/>
      <c r="CD68" s="83">
        <f t="shared" si="26"/>
        <v>0</v>
      </c>
      <c r="CE68" s="66">
        <f t="shared" si="27"/>
        <v>0</v>
      </c>
      <c r="CF68" s="83">
        <f t="shared" si="28"/>
        <v>0</v>
      </c>
      <c r="CG68" s="65">
        <f t="shared" si="29"/>
        <v>0</v>
      </c>
      <c r="CH68" s="83">
        <f t="shared" si="30"/>
        <v>0</v>
      </c>
      <c r="CI68" s="65">
        <f t="shared" si="31"/>
        <v>0</v>
      </c>
      <c r="CJ68" s="83">
        <f t="shared" si="32"/>
        <v>0</v>
      </c>
      <c r="CK68" s="65">
        <f t="shared" si="33"/>
        <v>0</v>
      </c>
      <c r="CL68" s="83">
        <f t="shared" si="34"/>
        <v>0</v>
      </c>
      <c r="CM68" s="83">
        <f t="shared" si="35"/>
        <v>0</v>
      </c>
      <c r="CN68" s="111">
        <f t="shared" si="36"/>
        <v>0</v>
      </c>
      <c r="CO68" s="111">
        <f t="shared" si="37"/>
        <v>0</v>
      </c>
      <c r="CP68" s="111">
        <f t="shared" si="38"/>
        <v>0</v>
      </c>
      <c r="CQ68" s="111">
        <f t="shared" si="39"/>
        <v>0</v>
      </c>
      <c r="CR68"/>
      <c r="CS68" s="83">
        <f t="shared" si="41"/>
        <v>0</v>
      </c>
      <c r="CT68" s="83">
        <f t="shared" si="42"/>
        <v>0</v>
      </c>
      <c r="CU68" s="83">
        <f t="shared" si="43"/>
        <v>0</v>
      </c>
      <c r="CV68" s="111">
        <v>0</v>
      </c>
      <c r="CW68" s="111">
        <v>0</v>
      </c>
      <c r="CX68" s="111">
        <v>0</v>
      </c>
      <c r="CY68" s="111">
        <v>0</v>
      </c>
      <c r="CZ68"/>
      <c r="DA68"/>
      <c r="DB68"/>
      <c r="DC68"/>
      <c r="DD68"/>
      <c r="DE68"/>
    </row>
    <row r="69" spans="1:109" s="2" customFormat="1" ht="21" thickTop="1" thickBot="1" x14ac:dyDescent="0.3">
      <c r="A69" s="163">
        <v>21</v>
      </c>
      <c r="B69" s="138"/>
      <c r="C69" s="91" t="s">
        <v>11</v>
      </c>
      <c r="D69" s="166"/>
      <c r="E69" s="166"/>
      <c r="F69" s="168"/>
      <c r="G69" s="170"/>
      <c r="H69" s="172"/>
      <c r="I69" s="172"/>
      <c r="J69" s="168"/>
      <c r="K69" s="168"/>
      <c r="L69" s="168"/>
      <c r="M69" s="168"/>
      <c r="N69" s="170"/>
      <c r="O69" s="172"/>
      <c r="P69" s="172"/>
      <c r="Q69" s="168"/>
      <c r="R69" s="168"/>
      <c r="S69" s="168"/>
      <c r="T69" s="174"/>
      <c r="U69" s="170"/>
      <c r="V69" s="172"/>
      <c r="W69" s="172"/>
      <c r="X69" s="168"/>
      <c r="Y69" s="168"/>
      <c r="Z69" s="170"/>
      <c r="AA69" s="170"/>
      <c r="AB69" s="168"/>
      <c r="AC69" s="172"/>
      <c r="AD69" s="172"/>
      <c r="AE69" s="172"/>
      <c r="AF69" s="172"/>
      <c r="AG69" s="168"/>
      <c r="AH69" s="176"/>
      <c r="AI69" s="193">
        <f>SUM(D69:AH69)</f>
        <v>0</v>
      </c>
      <c r="AJ69" s="86"/>
      <c r="AK69" s="31"/>
      <c r="AL69" s="31"/>
      <c r="AM69" s="99">
        <f>SUMIF(D71:AH71, "CO", D69:AH69) + SUMIF(D71:AH71, "CO", D70:AH70)</f>
        <v>0</v>
      </c>
      <c r="AN69" s="51">
        <f ca="1">SUM(AI69:CA69)</f>
        <v>0</v>
      </c>
      <c r="AO69" s="103"/>
      <c r="AP69" s="68"/>
      <c r="AQ69" s="127"/>
      <c r="AR69" s="40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CD69" s="83">
        <f t="shared" si="26"/>
        <v>0</v>
      </c>
      <c r="CE69" s="66">
        <f t="shared" si="27"/>
        <v>0</v>
      </c>
      <c r="CF69" s="83">
        <f t="shared" si="28"/>
        <v>0</v>
      </c>
      <c r="CG69" s="65">
        <f t="shared" si="29"/>
        <v>0</v>
      </c>
      <c r="CH69" s="83">
        <f t="shared" si="30"/>
        <v>0</v>
      </c>
      <c r="CI69" s="65">
        <f t="shared" si="31"/>
        <v>0</v>
      </c>
      <c r="CJ69" s="83">
        <f t="shared" si="32"/>
        <v>0</v>
      </c>
      <c r="CK69" s="65">
        <f t="shared" si="33"/>
        <v>0</v>
      </c>
      <c r="CL69" s="83">
        <f t="shared" si="34"/>
        <v>0</v>
      </c>
      <c r="CM69" s="83">
        <f t="shared" si="35"/>
        <v>0</v>
      </c>
      <c r="CN69" s="111">
        <f t="shared" si="36"/>
        <v>0</v>
      </c>
      <c r="CO69" s="111">
        <f t="shared" si="37"/>
        <v>0</v>
      </c>
      <c r="CP69" s="111">
        <f t="shared" si="38"/>
        <v>0</v>
      </c>
      <c r="CQ69" s="111">
        <f t="shared" si="39"/>
        <v>0</v>
      </c>
      <c r="CS69" s="83">
        <f t="shared" si="41"/>
        <v>0</v>
      </c>
      <c r="CT69" s="83">
        <f t="shared" si="42"/>
        <v>0</v>
      </c>
      <c r="CU69" s="83">
        <f t="shared" si="43"/>
        <v>0</v>
      </c>
      <c r="CV69" s="111">
        <v>0</v>
      </c>
      <c r="CW69" s="111">
        <v>0</v>
      </c>
      <c r="CX69" s="111">
        <v>0</v>
      </c>
      <c r="CY69" s="111">
        <v>0</v>
      </c>
    </row>
    <row r="70" spans="1:109" s="2" customFormat="1" ht="20" thickBot="1" x14ac:dyDescent="0.3">
      <c r="A70" s="164"/>
      <c r="B70" s="139"/>
      <c r="C70" s="3" t="s">
        <v>12</v>
      </c>
      <c r="D70" s="167"/>
      <c r="E70" s="167"/>
      <c r="F70" s="169"/>
      <c r="G70" s="171"/>
      <c r="H70" s="173"/>
      <c r="I70" s="173"/>
      <c r="J70" s="169"/>
      <c r="K70" s="169"/>
      <c r="L70" s="169"/>
      <c r="M70" s="169"/>
      <c r="N70" s="171"/>
      <c r="O70" s="173"/>
      <c r="P70" s="173"/>
      <c r="Q70" s="169"/>
      <c r="R70" s="169"/>
      <c r="S70" s="169"/>
      <c r="T70" s="175"/>
      <c r="U70" s="171"/>
      <c r="V70" s="173"/>
      <c r="W70" s="173"/>
      <c r="X70" s="169"/>
      <c r="Y70" s="169"/>
      <c r="Z70" s="171"/>
      <c r="AA70" s="171"/>
      <c r="AB70" s="169"/>
      <c r="AC70" s="173"/>
      <c r="AD70" s="173"/>
      <c r="AE70" s="173"/>
      <c r="AF70" s="173"/>
      <c r="AG70" s="169"/>
      <c r="AH70" s="177"/>
      <c r="AI70" s="192"/>
      <c r="AJ70" s="11"/>
      <c r="AK70" s="11"/>
      <c r="AL70" s="11"/>
      <c r="AM70" s="11"/>
      <c r="AN70" s="52"/>
      <c r="AO70" s="24"/>
      <c r="AP70" s="69"/>
      <c r="AQ70" s="127"/>
      <c r="AR70" s="40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CD70" s="83">
        <f t="shared" si="26"/>
        <v>0</v>
      </c>
      <c r="CE70" s="66">
        <f t="shared" si="27"/>
        <v>0</v>
      </c>
      <c r="CF70" s="83">
        <f t="shared" si="28"/>
        <v>0</v>
      </c>
      <c r="CG70" s="65">
        <f t="shared" si="29"/>
        <v>0</v>
      </c>
      <c r="CH70" s="83">
        <f t="shared" si="30"/>
        <v>0</v>
      </c>
      <c r="CI70" s="65">
        <f t="shared" si="31"/>
        <v>0</v>
      </c>
      <c r="CJ70" s="83">
        <f t="shared" si="32"/>
        <v>0</v>
      </c>
      <c r="CK70" s="65">
        <f t="shared" si="33"/>
        <v>0</v>
      </c>
      <c r="CL70" s="83">
        <f t="shared" si="34"/>
        <v>0</v>
      </c>
      <c r="CM70" s="83">
        <f t="shared" si="35"/>
        <v>0</v>
      </c>
      <c r="CN70" s="111">
        <f t="shared" si="36"/>
        <v>0</v>
      </c>
      <c r="CO70" s="111">
        <f t="shared" si="37"/>
        <v>0</v>
      </c>
      <c r="CP70" s="111">
        <f t="shared" si="38"/>
        <v>0</v>
      </c>
      <c r="CQ70" s="111">
        <f t="shared" si="39"/>
        <v>0</v>
      </c>
      <c r="CS70" s="83">
        <f t="shared" ca="1" si="41"/>
        <v>0</v>
      </c>
      <c r="CT70" s="83">
        <f t="shared" ca="1" si="42"/>
        <v>0</v>
      </c>
      <c r="CU70" s="83">
        <f t="shared" ca="1" si="43"/>
        <v>0</v>
      </c>
      <c r="CV70" s="111">
        <v>0</v>
      </c>
      <c r="CW70" s="111">
        <v>0</v>
      </c>
      <c r="CX70" s="111">
        <v>0</v>
      </c>
      <c r="CY70" s="111">
        <v>0</v>
      </c>
    </row>
    <row r="71" spans="1:109" s="2" customFormat="1" ht="20" thickBot="1" x14ac:dyDescent="0.3">
      <c r="A71" s="165"/>
      <c r="B71" s="140"/>
      <c r="C71" s="92" t="s">
        <v>4</v>
      </c>
      <c r="D71" s="88"/>
      <c r="E71" s="88"/>
      <c r="F71" s="88"/>
      <c r="G71" s="89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90"/>
      <c r="AI71" s="36"/>
      <c r="AJ71" s="34"/>
      <c r="AK71" s="34"/>
      <c r="AL71" s="34"/>
      <c r="AM71" s="34"/>
      <c r="AN71" s="53"/>
      <c r="AO71" s="25"/>
      <c r="AP71" s="70"/>
      <c r="AQ71" s="127"/>
      <c r="AR71" s="40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CD71" s="83">
        <f t="shared" si="26"/>
        <v>0</v>
      </c>
      <c r="CE71" s="66">
        <f t="shared" si="27"/>
        <v>0</v>
      </c>
      <c r="CF71" s="83">
        <f t="shared" si="28"/>
        <v>0</v>
      </c>
      <c r="CG71" s="65">
        <f t="shared" si="29"/>
        <v>0</v>
      </c>
      <c r="CH71" s="83">
        <f t="shared" si="30"/>
        <v>0</v>
      </c>
      <c r="CI71" s="65">
        <f t="shared" si="31"/>
        <v>0</v>
      </c>
      <c r="CJ71" s="83">
        <f t="shared" si="32"/>
        <v>0</v>
      </c>
      <c r="CK71" s="65">
        <f t="shared" si="33"/>
        <v>0</v>
      </c>
      <c r="CL71" s="83">
        <f t="shared" si="34"/>
        <v>0</v>
      </c>
      <c r="CM71" s="83">
        <f t="shared" si="35"/>
        <v>0</v>
      </c>
      <c r="CN71" s="111">
        <f t="shared" si="36"/>
        <v>0</v>
      </c>
      <c r="CO71" s="111">
        <f t="shared" si="37"/>
        <v>0</v>
      </c>
      <c r="CP71" s="111">
        <f t="shared" si="38"/>
        <v>0</v>
      </c>
      <c r="CQ71" s="111">
        <f t="shared" si="39"/>
        <v>0</v>
      </c>
      <c r="CS71" s="83">
        <f t="shared" si="41"/>
        <v>0</v>
      </c>
      <c r="CT71" s="83">
        <f t="shared" si="42"/>
        <v>0</v>
      </c>
      <c r="CU71" s="83">
        <f t="shared" si="43"/>
        <v>0</v>
      </c>
      <c r="CV71" s="111">
        <v>0</v>
      </c>
      <c r="CW71" s="111">
        <v>0</v>
      </c>
      <c r="CX71" s="111">
        <v>0</v>
      </c>
      <c r="CY71" s="111">
        <v>0</v>
      </c>
    </row>
    <row r="72" spans="1:109" s="2" customFormat="1" ht="21" thickTop="1" thickBot="1" x14ac:dyDescent="0.3">
      <c r="A72" s="163">
        <v>22</v>
      </c>
      <c r="B72" s="138"/>
      <c r="C72" s="91" t="s">
        <v>11</v>
      </c>
      <c r="D72" s="166"/>
      <c r="E72" s="166"/>
      <c r="F72" s="168"/>
      <c r="G72" s="170"/>
      <c r="H72" s="172"/>
      <c r="I72" s="172"/>
      <c r="J72" s="168"/>
      <c r="K72" s="168"/>
      <c r="L72" s="168"/>
      <c r="M72" s="168"/>
      <c r="N72" s="170"/>
      <c r="O72" s="172"/>
      <c r="P72" s="172"/>
      <c r="Q72" s="168"/>
      <c r="R72" s="168"/>
      <c r="S72" s="168"/>
      <c r="T72" s="174"/>
      <c r="U72" s="170"/>
      <c r="V72" s="172"/>
      <c r="W72" s="172"/>
      <c r="X72" s="168"/>
      <c r="Y72" s="168"/>
      <c r="Z72" s="170"/>
      <c r="AA72" s="170"/>
      <c r="AB72" s="168"/>
      <c r="AC72" s="172"/>
      <c r="AD72" s="172"/>
      <c r="AE72" s="172"/>
      <c r="AF72" s="172"/>
      <c r="AG72" s="168"/>
      <c r="AH72" s="176"/>
      <c r="AI72" s="159">
        <f>SUM(D72:AH72)</f>
        <v>0</v>
      </c>
      <c r="AJ72" s="87"/>
      <c r="AK72" s="39"/>
      <c r="AL72" s="39"/>
      <c r="AM72" s="100">
        <f>SUMIF(D74:AH74, "CO", D72:AH72) + SUMIF(D74:AH74, "CO", D73:AH73)</f>
        <v>0</v>
      </c>
      <c r="AN72" s="54">
        <f ca="1">SUM(AI72:CA72)</f>
        <v>0</v>
      </c>
      <c r="AO72" s="104"/>
      <c r="AP72" s="71"/>
      <c r="AQ72" s="127"/>
      <c r="AR72" s="40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CD72" s="83">
        <f t="shared" si="26"/>
        <v>0</v>
      </c>
      <c r="CE72" s="66">
        <f t="shared" si="27"/>
        <v>0</v>
      </c>
      <c r="CF72" s="83">
        <f t="shared" si="28"/>
        <v>0</v>
      </c>
      <c r="CG72" s="65">
        <f t="shared" si="29"/>
        <v>0</v>
      </c>
      <c r="CH72" s="83">
        <f t="shared" si="30"/>
        <v>0</v>
      </c>
      <c r="CI72" s="65">
        <f t="shared" si="31"/>
        <v>0</v>
      </c>
      <c r="CJ72" s="83">
        <f t="shared" si="32"/>
        <v>0</v>
      </c>
      <c r="CK72" s="65">
        <f t="shared" si="33"/>
        <v>0</v>
      </c>
      <c r="CL72" s="83">
        <f t="shared" si="34"/>
        <v>0</v>
      </c>
      <c r="CM72" s="83">
        <f t="shared" si="35"/>
        <v>0</v>
      </c>
      <c r="CN72" s="111">
        <f t="shared" si="36"/>
        <v>0</v>
      </c>
      <c r="CO72" s="111">
        <f t="shared" si="37"/>
        <v>0</v>
      </c>
      <c r="CP72" s="111">
        <f t="shared" si="38"/>
        <v>0</v>
      </c>
      <c r="CQ72" s="111">
        <f t="shared" si="39"/>
        <v>0</v>
      </c>
      <c r="CS72" s="83">
        <f t="shared" si="41"/>
        <v>0</v>
      </c>
      <c r="CT72" s="83">
        <f t="shared" si="42"/>
        <v>0</v>
      </c>
      <c r="CU72" s="83">
        <f t="shared" si="43"/>
        <v>0</v>
      </c>
      <c r="CV72" s="111">
        <v>0</v>
      </c>
      <c r="CW72" s="111">
        <v>0</v>
      </c>
      <c r="CX72" s="111">
        <v>0</v>
      </c>
      <c r="CY72" s="111">
        <v>0</v>
      </c>
    </row>
    <row r="73" spans="1:109" s="2" customFormat="1" ht="20" thickBot="1" x14ac:dyDescent="0.3">
      <c r="A73" s="164"/>
      <c r="B73" s="139"/>
      <c r="C73" s="3" t="s">
        <v>12</v>
      </c>
      <c r="D73" s="167"/>
      <c r="E73" s="167"/>
      <c r="F73" s="169"/>
      <c r="G73" s="171"/>
      <c r="H73" s="173"/>
      <c r="I73" s="173"/>
      <c r="J73" s="169"/>
      <c r="K73" s="169"/>
      <c r="L73" s="169"/>
      <c r="M73" s="169"/>
      <c r="N73" s="171"/>
      <c r="O73" s="173"/>
      <c r="P73" s="173"/>
      <c r="Q73" s="169"/>
      <c r="R73" s="169"/>
      <c r="S73" s="169"/>
      <c r="T73" s="175"/>
      <c r="U73" s="171"/>
      <c r="V73" s="173"/>
      <c r="W73" s="173"/>
      <c r="X73" s="169"/>
      <c r="Y73" s="169"/>
      <c r="Z73" s="171"/>
      <c r="AA73" s="171"/>
      <c r="AB73" s="169"/>
      <c r="AC73" s="173"/>
      <c r="AD73" s="173"/>
      <c r="AE73" s="173"/>
      <c r="AF73" s="173"/>
      <c r="AG73" s="169"/>
      <c r="AH73" s="177"/>
      <c r="AI73" s="160"/>
      <c r="AJ73" s="11"/>
      <c r="AK73" s="11"/>
      <c r="AL73" s="11"/>
      <c r="AM73" s="11"/>
      <c r="AN73" s="52"/>
      <c r="AO73" s="24"/>
      <c r="AP73" s="69"/>
      <c r="AQ73" s="127"/>
      <c r="AR73" s="43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CD73" s="83">
        <f t="shared" ref="CD73:CD104" si="51">SUMIF(D75:AH75,"T",D73:AH73)</f>
        <v>0</v>
      </c>
      <c r="CE73" s="66">
        <f t="shared" ref="CE73:CE104" si="52">AP73*CD73</f>
        <v>0</v>
      </c>
      <c r="CF73" s="83">
        <f t="shared" ref="CF73:CF104" si="53">SUMIF(D75:AH75,"VS",D73:AH73)</f>
        <v>0</v>
      </c>
      <c r="CG73" s="65">
        <f t="shared" ref="CG73:CG104" si="54">AP73*CF73</f>
        <v>0</v>
      </c>
      <c r="CH73" s="83">
        <f t="shared" ref="CH73:CH104" si="55">SUMIF(D75:AH75,"Sb",D73:AH73)</f>
        <v>0</v>
      </c>
      <c r="CI73" s="65">
        <f t="shared" ref="CI73:CI104" si="56">AP73*CH73</f>
        <v>0</v>
      </c>
      <c r="CJ73" s="83">
        <f t="shared" ref="CJ73:CJ104" si="57">SUMIF(D75:AH75,"VB",D73:AH73)</f>
        <v>0</v>
      </c>
      <c r="CK73" s="65">
        <f t="shared" ref="CK73:CK104" si="58">AP73*CJ73</f>
        <v>0</v>
      </c>
      <c r="CL73" s="83">
        <f t="shared" ref="CL73:CL104" si="59">SUMIF(D75:AH75,"VCC",D73:AH73)</f>
        <v>0</v>
      </c>
      <c r="CM73" s="83">
        <f t="shared" ref="CM73:CM104" si="60">AP73*CL73</f>
        <v>0</v>
      </c>
      <c r="CN73" s="111">
        <f t="shared" ref="CN73:CN104" si="61">SUMIF(D75:AH75,"VB3",D73:AH73)</f>
        <v>0</v>
      </c>
      <c r="CO73" s="111">
        <f t="shared" ref="CO73:CO104" si="62">AP73*CN73</f>
        <v>0</v>
      </c>
      <c r="CP73" s="111">
        <f t="shared" ref="CP73:CP104" si="63">SUMIF(D75:AH75,"VB14",D73:AH73)</f>
        <v>0</v>
      </c>
      <c r="CQ73" s="111">
        <f t="shared" ref="CQ73:CQ104" si="64">AP73*CP73</f>
        <v>0</v>
      </c>
      <c r="CS73" s="83">
        <f t="shared" ca="1" si="41"/>
        <v>0</v>
      </c>
      <c r="CT73" s="83">
        <f t="shared" ca="1" si="42"/>
        <v>0</v>
      </c>
      <c r="CU73" s="83">
        <f t="shared" ca="1" si="43"/>
        <v>0</v>
      </c>
      <c r="CV73" s="111">
        <v>0</v>
      </c>
      <c r="CW73" s="111">
        <v>0</v>
      </c>
      <c r="CX73" s="111">
        <v>0</v>
      </c>
      <c r="CY73" s="111">
        <v>0</v>
      </c>
    </row>
    <row r="74" spans="1:109" s="2" customFormat="1" ht="20" thickBot="1" x14ac:dyDescent="0.3">
      <c r="A74" s="165"/>
      <c r="B74" s="140"/>
      <c r="C74" s="92" t="s">
        <v>4</v>
      </c>
      <c r="D74" s="88"/>
      <c r="E74" s="88"/>
      <c r="F74" s="88"/>
      <c r="G74" s="89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90"/>
      <c r="AI74" s="36"/>
      <c r="AJ74" s="34"/>
      <c r="AK74" s="34"/>
      <c r="AL74" s="34"/>
      <c r="AM74" s="34"/>
      <c r="AN74" s="53"/>
      <c r="AO74" s="25"/>
      <c r="AP74" s="70"/>
      <c r="AQ74" s="127"/>
      <c r="AR74" s="43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CD74" s="83">
        <f t="shared" si="51"/>
        <v>0</v>
      </c>
      <c r="CE74" s="66">
        <f t="shared" si="52"/>
        <v>0</v>
      </c>
      <c r="CF74" s="83">
        <f t="shared" si="53"/>
        <v>0</v>
      </c>
      <c r="CG74" s="65">
        <f t="shared" si="54"/>
        <v>0</v>
      </c>
      <c r="CH74" s="83">
        <f t="shared" si="55"/>
        <v>0</v>
      </c>
      <c r="CI74" s="65">
        <f t="shared" si="56"/>
        <v>0</v>
      </c>
      <c r="CJ74" s="83">
        <f t="shared" si="57"/>
        <v>0</v>
      </c>
      <c r="CK74" s="65">
        <f t="shared" si="58"/>
        <v>0</v>
      </c>
      <c r="CL74" s="83">
        <f t="shared" si="59"/>
        <v>0</v>
      </c>
      <c r="CM74" s="83">
        <f t="shared" si="60"/>
        <v>0</v>
      </c>
      <c r="CN74" s="111">
        <f t="shared" si="61"/>
        <v>0</v>
      </c>
      <c r="CO74" s="111">
        <f t="shared" si="62"/>
        <v>0</v>
      </c>
      <c r="CP74" s="111">
        <f t="shared" si="63"/>
        <v>0</v>
      </c>
      <c r="CQ74" s="111">
        <f t="shared" si="64"/>
        <v>0</v>
      </c>
      <c r="CS74" s="83">
        <f t="shared" ref="CS74:CS105" si="65">SUMIF(K76:AO76, "T", K74:AO74) + SUMIF(K76:AO76, "T", K75:AO75)</f>
        <v>0</v>
      </c>
      <c r="CT74" s="83">
        <f t="shared" ref="CT74:CT105" si="66">SUMIF(L76:AP76, "T", L74:AP74) + SUMIF(L76:AP76, "T", L75:AP75)</f>
        <v>0</v>
      </c>
      <c r="CU74" s="83">
        <f t="shared" ref="CU74:CU105" si="67">SUMIF(M76:AQ76, "T", M74:AQ74) + SUMIF(M76:AQ76, "T", M75:AQ75)</f>
        <v>0</v>
      </c>
      <c r="CV74" s="111">
        <v>0</v>
      </c>
      <c r="CW74" s="111">
        <v>0</v>
      </c>
      <c r="CX74" s="111">
        <v>0</v>
      </c>
      <c r="CY74" s="111">
        <v>0</v>
      </c>
    </row>
    <row r="75" spans="1:109" s="2" customFormat="1" ht="21" thickTop="1" thickBot="1" x14ac:dyDescent="0.3">
      <c r="A75" s="163">
        <v>23</v>
      </c>
      <c r="B75" s="138"/>
      <c r="C75" s="91" t="s">
        <v>11</v>
      </c>
      <c r="D75" s="166"/>
      <c r="E75" s="166"/>
      <c r="F75" s="168"/>
      <c r="G75" s="170"/>
      <c r="H75" s="172"/>
      <c r="I75" s="172"/>
      <c r="J75" s="168"/>
      <c r="K75" s="168"/>
      <c r="L75" s="168"/>
      <c r="M75" s="168"/>
      <c r="N75" s="170"/>
      <c r="O75" s="172"/>
      <c r="P75" s="172"/>
      <c r="Q75" s="168"/>
      <c r="R75" s="168"/>
      <c r="S75" s="168"/>
      <c r="T75" s="174"/>
      <c r="U75" s="170"/>
      <c r="V75" s="172"/>
      <c r="W75" s="172"/>
      <c r="X75" s="168"/>
      <c r="Y75" s="168"/>
      <c r="Z75" s="170"/>
      <c r="AA75" s="170"/>
      <c r="AB75" s="168"/>
      <c r="AC75" s="172"/>
      <c r="AD75" s="172"/>
      <c r="AE75" s="172"/>
      <c r="AF75" s="172"/>
      <c r="AG75" s="168"/>
      <c r="AH75" s="176"/>
      <c r="AI75" s="159">
        <f>SUM(D75:AH75)</f>
        <v>0</v>
      </c>
      <c r="AJ75" s="86"/>
      <c r="AK75" s="32"/>
      <c r="AL75" s="8"/>
      <c r="AM75" s="99">
        <f>SUMIF(D77:AH77, "CO", D75:AH75) + SUMIF(D77:AH77, "CO", D76:AH76)</f>
        <v>0</v>
      </c>
      <c r="AN75" s="55">
        <f ca="1">SUM(AI75:CA75)</f>
        <v>0</v>
      </c>
      <c r="AO75" s="8"/>
      <c r="AP75" s="72"/>
      <c r="AQ75" s="127"/>
      <c r="AR75" s="44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CD75" s="83">
        <f t="shared" si="51"/>
        <v>0</v>
      </c>
      <c r="CE75" s="66">
        <f t="shared" si="52"/>
        <v>0</v>
      </c>
      <c r="CF75" s="83">
        <f t="shared" si="53"/>
        <v>0</v>
      </c>
      <c r="CG75" s="65">
        <f t="shared" si="54"/>
        <v>0</v>
      </c>
      <c r="CH75" s="83">
        <f t="shared" si="55"/>
        <v>0</v>
      </c>
      <c r="CI75" s="65">
        <f t="shared" si="56"/>
        <v>0</v>
      </c>
      <c r="CJ75" s="83">
        <f t="shared" si="57"/>
        <v>0</v>
      </c>
      <c r="CK75" s="65">
        <f t="shared" si="58"/>
        <v>0</v>
      </c>
      <c r="CL75" s="83">
        <f t="shared" si="59"/>
        <v>0</v>
      </c>
      <c r="CM75" s="83">
        <f t="shared" si="60"/>
        <v>0</v>
      </c>
      <c r="CN75" s="111">
        <f t="shared" si="61"/>
        <v>0</v>
      </c>
      <c r="CO75" s="111">
        <f t="shared" si="62"/>
        <v>0</v>
      </c>
      <c r="CP75" s="111">
        <f t="shared" si="63"/>
        <v>0</v>
      </c>
      <c r="CQ75" s="111">
        <f t="shared" si="64"/>
        <v>0</v>
      </c>
      <c r="CS75" s="83">
        <f t="shared" si="65"/>
        <v>0</v>
      </c>
      <c r="CT75" s="83">
        <f t="shared" si="66"/>
        <v>0</v>
      </c>
      <c r="CU75" s="83">
        <f t="shared" si="67"/>
        <v>0</v>
      </c>
      <c r="CV75" s="111">
        <v>0</v>
      </c>
      <c r="CW75" s="111">
        <v>0</v>
      </c>
      <c r="CX75" s="111">
        <v>0</v>
      </c>
      <c r="CY75" s="111">
        <v>0</v>
      </c>
    </row>
    <row r="76" spans="1:109" s="2" customFormat="1" ht="20" thickBot="1" x14ac:dyDescent="0.3">
      <c r="A76" s="164"/>
      <c r="B76" s="139"/>
      <c r="C76" s="3" t="s">
        <v>12</v>
      </c>
      <c r="D76" s="167"/>
      <c r="E76" s="167"/>
      <c r="F76" s="169"/>
      <c r="G76" s="171"/>
      <c r="H76" s="173"/>
      <c r="I76" s="173"/>
      <c r="J76" s="169"/>
      <c r="K76" s="169"/>
      <c r="L76" s="169"/>
      <c r="M76" s="169"/>
      <c r="N76" s="171"/>
      <c r="O76" s="173"/>
      <c r="P76" s="173"/>
      <c r="Q76" s="169"/>
      <c r="R76" s="169"/>
      <c r="S76" s="169"/>
      <c r="T76" s="175"/>
      <c r="U76" s="171"/>
      <c r="V76" s="173"/>
      <c r="W76" s="173"/>
      <c r="X76" s="169"/>
      <c r="Y76" s="169"/>
      <c r="Z76" s="171"/>
      <c r="AA76" s="171"/>
      <c r="AB76" s="169"/>
      <c r="AC76" s="173"/>
      <c r="AD76" s="173"/>
      <c r="AE76" s="173"/>
      <c r="AF76" s="173"/>
      <c r="AG76" s="169"/>
      <c r="AH76" s="177"/>
      <c r="AI76" s="160"/>
      <c r="AJ76" s="11"/>
      <c r="AK76" s="21"/>
      <c r="AL76" s="7"/>
      <c r="AM76" s="11"/>
      <c r="AN76" s="56"/>
      <c r="AO76" s="5"/>
      <c r="AP76" s="73"/>
      <c r="AQ76" s="127"/>
      <c r="AR76" s="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CD76" s="83">
        <f t="shared" si="51"/>
        <v>0</v>
      </c>
      <c r="CE76" s="66">
        <f t="shared" si="52"/>
        <v>0</v>
      </c>
      <c r="CF76" s="83">
        <f t="shared" si="53"/>
        <v>0</v>
      </c>
      <c r="CG76" s="65">
        <f t="shared" si="54"/>
        <v>0</v>
      </c>
      <c r="CH76" s="83">
        <f t="shared" si="55"/>
        <v>0</v>
      </c>
      <c r="CI76" s="65">
        <f t="shared" si="56"/>
        <v>0</v>
      </c>
      <c r="CJ76" s="83">
        <f t="shared" si="57"/>
        <v>0</v>
      </c>
      <c r="CK76" s="65">
        <f t="shared" si="58"/>
        <v>0</v>
      </c>
      <c r="CL76" s="83">
        <f t="shared" si="59"/>
        <v>0</v>
      </c>
      <c r="CM76" s="83">
        <f t="shared" si="60"/>
        <v>0</v>
      </c>
      <c r="CN76" s="111">
        <f t="shared" si="61"/>
        <v>0</v>
      </c>
      <c r="CO76" s="111">
        <f t="shared" si="62"/>
        <v>0</v>
      </c>
      <c r="CP76" s="111">
        <f t="shared" si="63"/>
        <v>0</v>
      </c>
      <c r="CQ76" s="111">
        <f t="shared" si="64"/>
        <v>0</v>
      </c>
      <c r="CS76" s="83">
        <f t="shared" ca="1" si="65"/>
        <v>0</v>
      </c>
      <c r="CT76" s="83">
        <f t="shared" ca="1" si="66"/>
        <v>0</v>
      </c>
      <c r="CU76" s="83">
        <f t="shared" ca="1" si="67"/>
        <v>0</v>
      </c>
      <c r="CV76" s="111">
        <v>0</v>
      </c>
      <c r="CW76" s="111">
        <v>0</v>
      </c>
      <c r="CX76" s="111">
        <v>0</v>
      </c>
      <c r="CY76" s="111">
        <v>0</v>
      </c>
    </row>
    <row r="77" spans="1:109" s="2" customFormat="1" ht="20" thickBot="1" x14ac:dyDescent="0.3">
      <c r="A77" s="165"/>
      <c r="B77" s="140"/>
      <c r="C77" s="92" t="s">
        <v>4</v>
      </c>
      <c r="D77" s="88"/>
      <c r="E77" s="88"/>
      <c r="F77" s="88"/>
      <c r="G77" s="89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90"/>
      <c r="AI77" s="36"/>
      <c r="AJ77" s="34"/>
      <c r="AK77" s="33"/>
      <c r="AL77" s="28"/>
      <c r="AM77" s="34"/>
      <c r="AN77" s="57"/>
      <c r="AO77" s="30"/>
      <c r="AP77" s="74"/>
      <c r="AQ77" s="127"/>
      <c r="AR77" s="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CD77" s="83">
        <f t="shared" si="51"/>
        <v>0</v>
      </c>
      <c r="CE77" s="66">
        <f t="shared" si="52"/>
        <v>0</v>
      </c>
      <c r="CF77" s="83">
        <f t="shared" si="53"/>
        <v>0</v>
      </c>
      <c r="CG77" s="65">
        <f t="shared" si="54"/>
        <v>0</v>
      </c>
      <c r="CH77" s="83">
        <f t="shared" si="55"/>
        <v>0</v>
      </c>
      <c r="CI77" s="65">
        <f t="shared" si="56"/>
        <v>0</v>
      </c>
      <c r="CJ77" s="83">
        <f t="shared" si="57"/>
        <v>0</v>
      </c>
      <c r="CK77" s="65">
        <f t="shared" si="58"/>
        <v>0</v>
      </c>
      <c r="CL77" s="83">
        <f t="shared" si="59"/>
        <v>0</v>
      </c>
      <c r="CM77" s="83">
        <f t="shared" si="60"/>
        <v>0</v>
      </c>
      <c r="CN77" s="111">
        <f t="shared" si="61"/>
        <v>0</v>
      </c>
      <c r="CO77" s="111">
        <f t="shared" si="62"/>
        <v>0</v>
      </c>
      <c r="CP77" s="111">
        <f t="shared" si="63"/>
        <v>0</v>
      </c>
      <c r="CQ77" s="111">
        <f t="shared" si="64"/>
        <v>0</v>
      </c>
      <c r="CS77" s="83">
        <f t="shared" si="65"/>
        <v>0</v>
      </c>
      <c r="CT77" s="83">
        <f t="shared" si="66"/>
        <v>0</v>
      </c>
      <c r="CU77" s="83">
        <f t="shared" si="67"/>
        <v>0</v>
      </c>
      <c r="CV77" s="111">
        <v>0</v>
      </c>
      <c r="CW77" s="111">
        <v>0</v>
      </c>
      <c r="CX77" s="111">
        <v>0</v>
      </c>
      <c r="CY77" s="111">
        <v>0</v>
      </c>
    </row>
    <row r="78" spans="1:109" s="2" customFormat="1" ht="21" thickTop="1" thickBot="1" x14ac:dyDescent="0.3">
      <c r="A78" s="144">
        <v>24</v>
      </c>
      <c r="B78" s="179"/>
      <c r="C78" s="93" t="s">
        <v>11</v>
      </c>
      <c r="D78" s="182"/>
      <c r="E78" s="182"/>
      <c r="F78" s="184"/>
      <c r="G78" s="186"/>
      <c r="H78" s="184"/>
      <c r="I78" s="184"/>
      <c r="J78" s="184"/>
      <c r="K78" s="184"/>
      <c r="L78" s="184"/>
      <c r="M78" s="184"/>
      <c r="N78" s="186"/>
      <c r="O78" s="184"/>
      <c r="P78" s="184"/>
      <c r="Q78" s="184"/>
      <c r="R78" s="184"/>
      <c r="S78" s="184"/>
      <c r="T78" s="186"/>
      <c r="U78" s="186"/>
      <c r="V78" s="184"/>
      <c r="W78" s="184"/>
      <c r="X78" s="184"/>
      <c r="Y78" s="184"/>
      <c r="Z78" s="186"/>
      <c r="AA78" s="186"/>
      <c r="AB78" s="184"/>
      <c r="AC78" s="184"/>
      <c r="AD78" s="184"/>
      <c r="AE78" s="184"/>
      <c r="AF78" s="184"/>
      <c r="AG78" s="184"/>
      <c r="AH78" s="190"/>
      <c r="AI78" s="159">
        <f>SUM(D78:AH78)</f>
        <v>0</v>
      </c>
      <c r="AJ78" s="87"/>
      <c r="AK78" s="12"/>
      <c r="AL78" s="18"/>
      <c r="AM78" s="100">
        <f>SUMIF(D80:AH80, "CO", D78:AH78) + SUMIF(D80:AH80, "CO", D79:AH79)</f>
        <v>0</v>
      </c>
      <c r="AN78" s="58">
        <f ca="1">SUM(AI78:CA78)</f>
        <v>0</v>
      </c>
      <c r="AO78" s="17"/>
      <c r="AP78" s="75"/>
      <c r="AQ78" s="127"/>
      <c r="AR78" s="4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CD78" s="83">
        <f t="shared" si="51"/>
        <v>0</v>
      </c>
      <c r="CE78" s="66">
        <f t="shared" si="52"/>
        <v>0</v>
      </c>
      <c r="CF78" s="83">
        <f t="shared" si="53"/>
        <v>0</v>
      </c>
      <c r="CG78" s="65">
        <f t="shared" si="54"/>
        <v>0</v>
      </c>
      <c r="CH78" s="83">
        <f t="shared" si="55"/>
        <v>0</v>
      </c>
      <c r="CI78" s="65">
        <f t="shared" si="56"/>
        <v>0</v>
      </c>
      <c r="CJ78" s="83">
        <f t="shared" si="57"/>
        <v>0</v>
      </c>
      <c r="CK78" s="65">
        <f t="shared" si="58"/>
        <v>0</v>
      </c>
      <c r="CL78" s="83">
        <f t="shared" si="59"/>
        <v>0</v>
      </c>
      <c r="CM78" s="83">
        <f t="shared" si="60"/>
        <v>0</v>
      </c>
      <c r="CN78" s="111">
        <f t="shared" si="61"/>
        <v>0</v>
      </c>
      <c r="CO78" s="111">
        <f t="shared" si="62"/>
        <v>0</v>
      </c>
      <c r="CP78" s="111">
        <f t="shared" si="63"/>
        <v>0</v>
      </c>
      <c r="CQ78" s="111">
        <f t="shared" si="64"/>
        <v>0</v>
      </c>
      <c r="CS78" s="83">
        <f t="shared" si="65"/>
        <v>0</v>
      </c>
      <c r="CT78" s="83">
        <f t="shared" si="66"/>
        <v>0</v>
      </c>
      <c r="CU78" s="83">
        <f t="shared" si="67"/>
        <v>0</v>
      </c>
      <c r="CV78" s="111">
        <v>0</v>
      </c>
      <c r="CW78" s="111">
        <v>0</v>
      </c>
      <c r="CX78" s="111">
        <v>0</v>
      </c>
      <c r="CY78" s="111">
        <v>0</v>
      </c>
    </row>
    <row r="79" spans="1:109" s="2" customFormat="1" ht="20" thickBot="1" x14ac:dyDescent="0.3">
      <c r="A79" s="142"/>
      <c r="B79" s="180"/>
      <c r="C79" s="94" t="s">
        <v>12</v>
      </c>
      <c r="D79" s="183"/>
      <c r="E79" s="183"/>
      <c r="F79" s="185"/>
      <c r="G79" s="187"/>
      <c r="H79" s="185"/>
      <c r="I79" s="185"/>
      <c r="J79" s="185"/>
      <c r="K79" s="185"/>
      <c r="L79" s="185"/>
      <c r="M79" s="185"/>
      <c r="N79" s="187"/>
      <c r="O79" s="185"/>
      <c r="P79" s="185"/>
      <c r="Q79" s="185"/>
      <c r="R79" s="185"/>
      <c r="S79" s="185"/>
      <c r="T79" s="187"/>
      <c r="U79" s="187"/>
      <c r="V79" s="185"/>
      <c r="W79" s="185"/>
      <c r="X79" s="185"/>
      <c r="Y79" s="185"/>
      <c r="Z79" s="187"/>
      <c r="AA79" s="187"/>
      <c r="AB79" s="185"/>
      <c r="AC79" s="185"/>
      <c r="AD79" s="185"/>
      <c r="AE79" s="185"/>
      <c r="AF79" s="185"/>
      <c r="AG79" s="185"/>
      <c r="AH79" s="191"/>
      <c r="AI79" s="160"/>
      <c r="AJ79" s="11"/>
      <c r="AK79" s="10"/>
      <c r="AL79" s="7"/>
      <c r="AM79" s="11"/>
      <c r="AN79" s="59"/>
      <c r="AO79" s="5"/>
      <c r="AP79" s="73"/>
      <c r="AQ79" s="127"/>
      <c r="AR79" s="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CD79" s="83">
        <f t="shared" si="51"/>
        <v>0</v>
      </c>
      <c r="CE79" s="66">
        <f t="shared" si="52"/>
        <v>0</v>
      </c>
      <c r="CF79" s="83">
        <f t="shared" si="53"/>
        <v>0</v>
      </c>
      <c r="CG79" s="65">
        <f t="shared" si="54"/>
        <v>0</v>
      </c>
      <c r="CH79" s="83">
        <f t="shared" si="55"/>
        <v>0</v>
      </c>
      <c r="CI79" s="65">
        <f t="shared" si="56"/>
        <v>0</v>
      </c>
      <c r="CJ79" s="83">
        <f t="shared" si="57"/>
        <v>0</v>
      </c>
      <c r="CK79" s="65">
        <f t="shared" si="58"/>
        <v>0</v>
      </c>
      <c r="CL79" s="83">
        <f t="shared" si="59"/>
        <v>0</v>
      </c>
      <c r="CM79" s="83">
        <f t="shared" si="60"/>
        <v>0</v>
      </c>
      <c r="CN79" s="111">
        <f t="shared" si="61"/>
        <v>0</v>
      </c>
      <c r="CO79" s="111">
        <f t="shared" si="62"/>
        <v>0</v>
      </c>
      <c r="CP79" s="111">
        <f t="shared" si="63"/>
        <v>0</v>
      </c>
      <c r="CQ79" s="111">
        <f t="shared" si="64"/>
        <v>0</v>
      </c>
      <c r="CS79" s="83">
        <f t="shared" ca="1" si="65"/>
        <v>0</v>
      </c>
      <c r="CT79" s="83">
        <f t="shared" ca="1" si="66"/>
        <v>0</v>
      </c>
      <c r="CU79" s="83">
        <f t="shared" ca="1" si="67"/>
        <v>0</v>
      </c>
      <c r="CV79" s="111">
        <v>0</v>
      </c>
      <c r="CW79" s="111">
        <v>0</v>
      </c>
      <c r="CX79" s="111">
        <v>0</v>
      </c>
      <c r="CY79" s="111">
        <v>0</v>
      </c>
    </row>
    <row r="80" spans="1:109" s="2" customFormat="1" ht="20" thickBot="1" x14ac:dyDescent="0.3">
      <c r="A80" s="178"/>
      <c r="B80" s="181"/>
      <c r="C80" s="92" t="s">
        <v>4</v>
      </c>
      <c r="D80" s="95"/>
      <c r="E80" s="95"/>
      <c r="F80" s="95"/>
      <c r="G80" s="96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7"/>
      <c r="AI80" s="36"/>
      <c r="AJ80" s="34"/>
      <c r="AK80" s="29"/>
      <c r="AL80" s="28"/>
      <c r="AM80" s="34"/>
      <c r="AN80" s="60"/>
      <c r="AO80" s="30"/>
      <c r="AP80" s="74"/>
      <c r="AQ80" s="127"/>
      <c r="AR80" s="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CD80" s="83">
        <f t="shared" si="51"/>
        <v>0</v>
      </c>
      <c r="CE80" s="66">
        <f t="shared" si="52"/>
        <v>0</v>
      </c>
      <c r="CF80" s="83">
        <f t="shared" si="53"/>
        <v>0</v>
      </c>
      <c r="CG80" s="65">
        <f t="shared" si="54"/>
        <v>0</v>
      </c>
      <c r="CH80" s="83">
        <f t="shared" si="55"/>
        <v>0</v>
      </c>
      <c r="CI80" s="65">
        <f t="shared" si="56"/>
        <v>0</v>
      </c>
      <c r="CJ80" s="83">
        <f t="shared" si="57"/>
        <v>0</v>
      </c>
      <c r="CK80" s="65">
        <f t="shared" si="58"/>
        <v>0</v>
      </c>
      <c r="CL80" s="83">
        <f t="shared" si="59"/>
        <v>0</v>
      </c>
      <c r="CM80" s="83">
        <f t="shared" si="60"/>
        <v>0</v>
      </c>
      <c r="CN80" s="111">
        <f t="shared" si="61"/>
        <v>0</v>
      </c>
      <c r="CO80" s="111">
        <f t="shared" si="62"/>
        <v>0</v>
      </c>
      <c r="CP80" s="111">
        <f t="shared" si="63"/>
        <v>0</v>
      </c>
      <c r="CQ80" s="111">
        <f t="shared" si="64"/>
        <v>0</v>
      </c>
      <c r="CS80" s="83">
        <f t="shared" si="65"/>
        <v>0</v>
      </c>
      <c r="CT80" s="83">
        <f t="shared" si="66"/>
        <v>0</v>
      </c>
      <c r="CU80" s="83">
        <f t="shared" si="67"/>
        <v>0</v>
      </c>
      <c r="CV80" s="111">
        <v>0</v>
      </c>
      <c r="CW80" s="111">
        <v>0</v>
      </c>
      <c r="CX80" s="111">
        <v>0</v>
      </c>
      <c r="CY80" s="111">
        <v>0</v>
      </c>
    </row>
    <row r="81" spans="1:103" s="2" customFormat="1" ht="23" thickTop="1" thickBot="1" x14ac:dyDescent="0.3">
      <c r="A81" s="188">
        <v>25</v>
      </c>
      <c r="B81" s="189"/>
      <c r="C81" s="98" t="s">
        <v>11</v>
      </c>
      <c r="D81" s="182"/>
      <c r="E81" s="182"/>
      <c r="F81" s="184"/>
      <c r="G81" s="186"/>
      <c r="H81" s="184"/>
      <c r="I81" s="184"/>
      <c r="J81" s="184"/>
      <c r="K81" s="184"/>
      <c r="L81" s="184"/>
      <c r="M81" s="184"/>
      <c r="N81" s="186"/>
      <c r="O81" s="184"/>
      <c r="P81" s="184"/>
      <c r="Q81" s="184"/>
      <c r="R81" s="184"/>
      <c r="S81" s="184"/>
      <c r="T81" s="186"/>
      <c r="U81" s="186"/>
      <c r="V81" s="184"/>
      <c r="W81" s="184"/>
      <c r="X81" s="184"/>
      <c r="Y81" s="184"/>
      <c r="Z81" s="186"/>
      <c r="AA81" s="186"/>
      <c r="AB81" s="184"/>
      <c r="AC81" s="184"/>
      <c r="AD81" s="184"/>
      <c r="AE81" s="184"/>
      <c r="AF81" s="184"/>
      <c r="AG81" s="184"/>
      <c r="AH81" s="190"/>
      <c r="AI81" s="159">
        <f>SUM(D81:AH81)</f>
        <v>0</v>
      </c>
      <c r="AJ81" s="86"/>
      <c r="AK81" s="12"/>
      <c r="AL81" s="18"/>
      <c r="AM81" s="99">
        <f>SUMIF(D83:AH83, "CO", D81:AH81) + SUMIF(D83:AH83, "CO", D82:AH82)</f>
        <v>0</v>
      </c>
      <c r="AN81" s="58">
        <f ca="1">SUM(AI81:CA81)</f>
        <v>0</v>
      </c>
      <c r="AO81" s="17"/>
      <c r="AP81" s="75"/>
      <c r="AQ81" s="127"/>
      <c r="AR81" s="6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CD81" s="83">
        <f t="shared" si="51"/>
        <v>0</v>
      </c>
      <c r="CE81" s="66">
        <f t="shared" si="52"/>
        <v>0</v>
      </c>
      <c r="CF81" s="83">
        <f t="shared" si="53"/>
        <v>0</v>
      </c>
      <c r="CG81" s="65">
        <f t="shared" si="54"/>
        <v>0</v>
      </c>
      <c r="CH81" s="83">
        <f t="shared" si="55"/>
        <v>0</v>
      </c>
      <c r="CI81" s="65">
        <f t="shared" si="56"/>
        <v>0</v>
      </c>
      <c r="CJ81" s="83">
        <f t="shared" si="57"/>
        <v>0</v>
      </c>
      <c r="CK81" s="65">
        <f t="shared" si="58"/>
        <v>0</v>
      </c>
      <c r="CL81" s="83">
        <f t="shared" si="59"/>
        <v>0</v>
      </c>
      <c r="CM81" s="83">
        <f t="shared" si="60"/>
        <v>0</v>
      </c>
      <c r="CN81" s="111">
        <f t="shared" si="61"/>
        <v>0</v>
      </c>
      <c r="CO81" s="111">
        <f t="shared" si="62"/>
        <v>0</v>
      </c>
      <c r="CP81" s="111">
        <f t="shared" si="63"/>
        <v>0</v>
      </c>
      <c r="CQ81" s="111">
        <f t="shared" si="64"/>
        <v>0</v>
      </c>
      <c r="CS81" s="83">
        <f t="shared" si="65"/>
        <v>0</v>
      </c>
      <c r="CT81" s="83">
        <f t="shared" si="66"/>
        <v>0</v>
      </c>
      <c r="CU81" s="83">
        <f t="shared" si="67"/>
        <v>0</v>
      </c>
      <c r="CV81" s="111">
        <v>0</v>
      </c>
      <c r="CW81" s="111">
        <v>0</v>
      </c>
      <c r="CX81" s="111">
        <v>0</v>
      </c>
      <c r="CY81" s="111">
        <v>0</v>
      </c>
    </row>
    <row r="82" spans="1:103" s="2" customFormat="1" ht="20" thickBot="1" x14ac:dyDescent="0.3">
      <c r="A82" s="142"/>
      <c r="B82" s="180"/>
      <c r="C82" s="94" t="s">
        <v>12</v>
      </c>
      <c r="D82" s="183"/>
      <c r="E82" s="183"/>
      <c r="F82" s="185"/>
      <c r="G82" s="187"/>
      <c r="H82" s="185"/>
      <c r="I82" s="185"/>
      <c r="J82" s="185"/>
      <c r="K82" s="185"/>
      <c r="L82" s="185"/>
      <c r="M82" s="185"/>
      <c r="N82" s="187"/>
      <c r="O82" s="185"/>
      <c r="P82" s="185"/>
      <c r="Q82" s="185"/>
      <c r="R82" s="185"/>
      <c r="S82" s="185"/>
      <c r="T82" s="187"/>
      <c r="U82" s="187"/>
      <c r="V82" s="185"/>
      <c r="W82" s="185"/>
      <c r="X82" s="185"/>
      <c r="Y82" s="185"/>
      <c r="Z82" s="187"/>
      <c r="AA82" s="187"/>
      <c r="AB82" s="185"/>
      <c r="AC82" s="185"/>
      <c r="AD82" s="185"/>
      <c r="AE82" s="185"/>
      <c r="AF82" s="185"/>
      <c r="AG82" s="185"/>
      <c r="AH82" s="191"/>
      <c r="AI82" s="160"/>
      <c r="AJ82" s="11"/>
      <c r="AK82" s="10"/>
      <c r="AL82" s="7"/>
      <c r="AM82" s="11"/>
      <c r="AN82" s="59"/>
      <c r="AO82" s="5"/>
      <c r="AP82" s="73"/>
      <c r="AQ82" s="127"/>
      <c r="AR82" s="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CD82" s="83">
        <f t="shared" si="51"/>
        <v>0</v>
      </c>
      <c r="CE82" s="66">
        <f t="shared" si="52"/>
        <v>0</v>
      </c>
      <c r="CF82" s="83">
        <f t="shared" si="53"/>
        <v>0</v>
      </c>
      <c r="CG82" s="65">
        <f t="shared" si="54"/>
        <v>0</v>
      </c>
      <c r="CH82" s="83">
        <f t="shared" si="55"/>
        <v>0</v>
      </c>
      <c r="CI82" s="65">
        <f t="shared" si="56"/>
        <v>0</v>
      </c>
      <c r="CJ82" s="83">
        <f t="shared" si="57"/>
        <v>0</v>
      </c>
      <c r="CK82" s="65">
        <f t="shared" si="58"/>
        <v>0</v>
      </c>
      <c r="CL82" s="83">
        <f t="shared" si="59"/>
        <v>0</v>
      </c>
      <c r="CM82" s="83">
        <f t="shared" si="60"/>
        <v>0</v>
      </c>
      <c r="CN82" s="111">
        <f t="shared" si="61"/>
        <v>0</v>
      </c>
      <c r="CO82" s="111">
        <f t="shared" si="62"/>
        <v>0</v>
      </c>
      <c r="CP82" s="111">
        <f t="shared" si="63"/>
        <v>0</v>
      </c>
      <c r="CQ82" s="111">
        <f t="shared" si="64"/>
        <v>0</v>
      </c>
      <c r="CS82" s="83">
        <f t="shared" ca="1" si="65"/>
        <v>0</v>
      </c>
      <c r="CT82" s="83">
        <f t="shared" ca="1" si="66"/>
        <v>0</v>
      </c>
      <c r="CU82" s="83">
        <f t="shared" ca="1" si="67"/>
        <v>0</v>
      </c>
      <c r="CV82" s="111">
        <v>0</v>
      </c>
      <c r="CW82" s="111">
        <v>0</v>
      </c>
      <c r="CX82" s="111">
        <v>0</v>
      </c>
      <c r="CY82" s="111">
        <v>0</v>
      </c>
    </row>
    <row r="83" spans="1:103" s="2" customFormat="1" ht="20" thickBot="1" x14ac:dyDescent="0.3">
      <c r="A83" s="178"/>
      <c r="B83" s="181"/>
      <c r="C83" s="92" t="s">
        <v>4</v>
      </c>
      <c r="D83" s="95"/>
      <c r="E83" s="95"/>
      <c r="F83" s="95"/>
      <c r="G83" s="96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7"/>
      <c r="AI83" s="36"/>
      <c r="AJ83" s="34"/>
      <c r="AK83" s="29"/>
      <c r="AL83" s="28"/>
      <c r="AM83" s="34"/>
      <c r="AN83" s="60"/>
      <c r="AO83" s="30"/>
      <c r="AP83" s="74"/>
      <c r="AQ83" s="127"/>
      <c r="AR83" s="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CD83" s="83">
        <f t="shared" si="51"/>
        <v>0</v>
      </c>
      <c r="CE83" s="66">
        <f t="shared" si="52"/>
        <v>0</v>
      </c>
      <c r="CF83" s="83">
        <f t="shared" si="53"/>
        <v>0</v>
      </c>
      <c r="CG83" s="65">
        <f t="shared" si="54"/>
        <v>0</v>
      </c>
      <c r="CH83" s="83">
        <f t="shared" si="55"/>
        <v>0</v>
      </c>
      <c r="CI83" s="65">
        <f t="shared" si="56"/>
        <v>0</v>
      </c>
      <c r="CJ83" s="83">
        <f t="shared" si="57"/>
        <v>0</v>
      </c>
      <c r="CK83" s="65">
        <f t="shared" si="58"/>
        <v>0</v>
      </c>
      <c r="CL83" s="83">
        <f t="shared" si="59"/>
        <v>0</v>
      </c>
      <c r="CM83" s="83">
        <f t="shared" si="60"/>
        <v>0</v>
      </c>
      <c r="CN83" s="111">
        <f t="shared" si="61"/>
        <v>0</v>
      </c>
      <c r="CO83" s="111">
        <f t="shared" si="62"/>
        <v>0</v>
      </c>
      <c r="CP83" s="111">
        <f t="shared" si="63"/>
        <v>0</v>
      </c>
      <c r="CQ83" s="111">
        <f t="shared" si="64"/>
        <v>0</v>
      </c>
      <c r="CS83" s="83">
        <f t="shared" si="65"/>
        <v>0</v>
      </c>
      <c r="CT83" s="83">
        <f t="shared" si="66"/>
        <v>0</v>
      </c>
      <c r="CU83" s="83">
        <f t="shared" si="67"/>
        <v>0</v>
      </c>
      <c r="CV83" s="111">
        <v>0</v>
      </c>
      <c r="CW83" s="111">
        <v>0</v>
      </c>
      <c r="CX83" s="111">
        <v>0</v>
      </c>
      <c r="CY83" s="111">
        <v>0</v>
      </c>
    </row>
    <row r="84" spans="1:103" s="2" customFormat="1" ht="21" thickTop="1" thickBot="1" x14ac:dyDescent="0.3">
      <c r="A84" s="188">
        <v>26</v>
      </c>
      <c r="B84" s="189"/>
      <c r="C84" s="98" t="s">
        <v>11</v>
      </c>
      <c r="D84" s="182"/>
      <c r="E84" s="182"/>
      <c r="F84" s="184"/>
      <c r="G84" s="186"/>
      <c r="H84" s="184"/>
      <c r="I84" s="184"/>
      <c r="J84" s="184"/>
      <c r="K84" s="184"/>
      <c r="L84" s="184"/>
      <c r="M84" s="184"/>
      <c r="N84" s="186"/>
      <c r="O84" s="184"/>
      <c r="P84" s="184"/>
      <c r="Q84" s="184"/>
      <c r="R84" s="184"/>
      <c r="S84" s="184"/>
      <c r="T84" s="186"/>
      <c r="U84" s="186"/>
      <c r="V84" s="184"/>
      <c r="W84" s="184"/>
      <c r="X84" s="184"/>
      <c r="Y84" s="184"/>
      <c r="Z84" s="186"/>
      <c r="AA84" s="186"/>
      <c r="AB84" s="184"/>
      <c r="AC84" s="184"/>
      <c r="AD84" s="184"/>
      <c r="AE84" s="184"/>
      <c r="AF84" s="184"/>
      <c r="AG84" s="184"/>
      <c r="AH84" s="190"/>
      <c r="AI84" s="159">
        <f t="shared" ref="AI84" si="68">SUM(D84:AH84)</f>
        <v>0</v>
      </c>
      <c r="AJ84" s="87"/>
      <c r="AK84" s="18"/>
      <c r="AL84" s="18"/>
      <c r="AM84" s="100">
        <f>SUMIF(D86:AH86, "CO", D84:AH84) + SUMIF(D86:AH86, "CO", D85:AH85)</f>
        <v>0</v>
      </c>
      <c r="AN84" s="58">
        <f ca="1">SUM(AI84:CA84)</f>
        <v>0</v>
      </c>
      <c r="AO84" s="17"/>
      <c r="AP84" s="76"/>
      <c r="AQ84" s="127"/>
      <c r="AR84" s="46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CD84" s="83">
        <f t="shared" si="51"/>
        <v>0</v>
      </c>
      <c r="CE84" s="66">
        <f t="shared" si="52"/>
        <v>0</v>
      </c>
      <c r="CF84" s="83">
        <f t="shared" si="53"/>
        <v>0</v>
      </c>
      <c r="CG84" s="65">
        <f t="shared" si="54"/>
        <v>0</v>
      </c>
      <c r="CH84" s="83">
        <f t="shared" si="55"/>
        <v>0</v>
      </c>
      <c r="CI84" s="65">
        <f t="shared" si="56"/>
        <v>0</v>
      </c>
      <c r="CJ84" s="83">
        <f t="shared" si="57"/>
        <v>0</v>
      </c>
      <c r="CK84" s="65">
        <f t="shared" si="58"/>
        <v>0</v>
      </c>
      <c r="CL84" s="83">
        <f t="shared" si="59"/>
        <v>0</v>
      </c>
      <c r="CM84" s="83">
        <f t="shared" si="60"/>
        <v>0</v>
      </c>
      <c r="CN84" s="111">
        <f t="shared" si="61"/>
        <v>0</v>
      </c>
      <c r="CO84" s="111">
        <f t="shared" si="62"/>
        <v>0</v>
      </c>
      <c r="CP84" s="111">
        <f t="shared" si="63"/>
        <v>0</v>
      </c>
      <c r="CQ84" s="111">
        <f t="shared" si="64"/>
        <v>0</v>
      </c>
      <c r="CS84" s="83">
        <f t="shared" si="65"/>
        <v>0</v>
      </c>
      <c r="CT84" s="83">
        <f t="shared" si="66"/>
        <v>0</v>
      </c>
      <c r="CU84" s="83">
        <f t="shared" si="67"/>
        <v>0</v>
      </c>
      <c r="CV84" s="111">
        <v>0</v>
      </c>
      <c r="CW84" s="111">
        <v>0</v>
      </c>
      <c r="CX84" s="111">
        <v>0</v>
      </c>
      <c r="CY84" s="111">
        <v>0</v>
      </c>
    </row>
    <row r="85" spans="1:103" s="2" customFormat="1" ht="20" thickBot="1" x14ac:dyDescent="0.3">
      <c r="A85" s="142"/>
      <c r="B85" s="180"/>
      <c r="C85" s="94" t="s">
        <v>12</v>
      </c>
      <c r="D85" s="183"/>
      <c r="E85" s="183"/>
      <c r="F85" s="185"/>
      <c r="G85" s="187"/>
      <c r="H85" s="185"/>
      <c r="I85" s="185"/>
      <c r="J85" s="185"/>
      <c r="K85" s="185"/>
      <c r="L85" s="185"/>
      <c r="M85" s="185"/>
      <c r="N85" s="187"/>
      <c r="O85" s="185"/>
      <c r="P85" s="185"/>
      <c r="Q85" s="185"/>
      <c r="R85" s="185"/>
      <c r="S85" s="185"/>
      <c r="T85" s="187"/>
      <c r="U85" s="187"/>
      <c r="V85" s="185"/>
      <c r="W85" s="185"/>
      <c r="X85" s="185"/>
      <c r="Y85" s="185"/>
      <c r="Z85" s="187"/>
      <c r="AA85" s="187"/>
      <c r="AB85" s="185"/>
      <c r="AC85" s="185"/>
      <c r="AD85" s="185"/>
      <c r="AE85" s="185"/>
      <c r="AF85" s="185"/>
      <c r="AG85" s="185"/>
      <c r="AH85" s="191"/>
      <c r="AI85" s="160"/>
      <c r="AJ85" s="11"/>
      <c r="AK85" s="7"/>
      <c r="AL85" s="7"/>
      <c r="AM85" s="11"/>
      <c r="AN85" s="59"/>
      <c r="AO85" s="5"/>
      <c r="AP85" s="73"/>
      <c r="AQ85" s="127"/>
      <c r="AR85" s="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CD85" s="83">
        <f t="shared" si="51"/>
        <v>0</v>
      </c>
      <c r="CE85" s="66">
        <f t="shared" si="52"/>
        <v>0</v>
      </c>
      <c r="CF85" s="83">
        <f t="shared" si="53"/>
        <v>0</v>
      </c>
      <c r="CG85" s="65">
        <f t="shared" si="54"/>
        <v>0</v>
      </c>
      <c r="CH85" s="83">
        <f t="shared" si="55"/>
        <v>0</v>
      </c>
      <c r="CI85" s="65">
        <f t="shared" si="56"/>
        <v>0</v>
      </c>
      <c r="CJ85" s="83">
        <f t="shared" si="57"/>
        <v>0</v>
      </c>
      <c r="CK85" s="65">
        <f t="shared" si="58"/>
        <v>0</v>
      </c>
      <c r="CL85" s="83">
        <f t="shared" si="59"/>
        <v>0</v>
      </c>
      <c r="CM85" s="83">
        <f t="shared" si="60"/>
        <v>0</v>
      </c>
      <c r="CN85" s="111">
        <f t="shared" si="61"/>
        <v>0</v>
      </c>
      <c r="CO85" s="111">
        <f t="shared" si="62"/>
        <v>0</v>
      </c>
      <c r="CP85" s="111">
        <f t="shared" si="63"/>
        <v>0</v>
      </c>
      <c r="CQ85" s="111">
        <f t="shared" si="64"/>
        <v>0</v>
      </c>
      <c r="CS85" s="83">
        <f t="shared" ca="1" si="65"/>
        <v>0</v>
      </c>
      <c r="CT85" s="83">
        <f t="shared" ca="1" si="66"/>
        <v>0</v>
      </c>
      <c r="CU85" s="83">
        <f t="shared" ca="1" si="67"/>
        <v>0</v>
      </c>
      <c r="CV85" s="111">
        <v>0</v>
      </c>
      <c r="CW85" s="111">
        <v>0</v>
      </c>
      <c r="CX85" s="111">
        <v>0</v>
      </c>
      <c r="CY85" s="111">
        <v>0</v>
      </c>
    </row>
    <row r="86" spans="1:103" s="2" customFormat="1" ht="20" thickBot="1" x14ac:dyDescent="0.3">
      <c r="A86" s="178"/>
      <c r="B86" s="181"/>
      <c r="C86" s="92" t="s">
        <v>4</v>
      </c>
      <c r="D86" s="95"/>
      <c r="E86" s="95"/>
      <c r="F86" s="95"/>
      <c r="G86" s="96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7"/>
      <c r="AI86" s="36"/>
      <c r="AJ86" s="34"/>
      <c r="AK86" s="28"/>
      <c r="AL86" s="28"/>
      <c r="AM86" s="34"/>
      <c r="AN86" s="60"/>
      <c r="AO86" s="30"/>
      <c r="AP86" s="74"/>
      <c r="AQ86" s="127"/>
      <c r="AR86" s="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CD86" s="83">
        <f t="shared" si="51"/>
        <v>0</v>
      </c>
      <c r="CE86" s="66">
        <f t="shared" si="52"/>
        <v>0</v>
      </c>
      <c r="CF86" s="83">
        <f t="shared" si="53"/>
        <v>0</v>
      </c>
      <c r="CG86" s="65">
        <f t="shared" si="54"/>
        <v>0</v>
      </c>
      <c r="CH86" s="83">
        <f t="shared" si="55"/>
        <v>0</v>
      </c>
      <c r="CI86" s="65">
        <f t="shared" si="56"/>
        <v>0</v>
      </c>
      <c r="CJ86" s="83">
        <f t="shared" si="57"/>
        <v>0</v>
      </c>
      <c r="CK86" s="65">
        <f t="shared" si="58"/>
        <v>0</v>
      </c>
      <c r="CL86" s="83">
        <f t="shared" si="59"/>
        <v>0</v>
      </c>
      <c r="CM86" s="83">
        <f t="shared" si="60"/>
        <v>0</v>
      </c>
      <c r="CN86" s="111">
        <f t="shared" si="61"/>
        <v>0</v>
      </c>
      <c r="CO86" s="111">
        <f t="shared" si="62"/>
        <v>0</v>
      </c>
      <c r="CP86" s="111">
        <f t="shared" si="63"/>
        <v>0</v>
      </c>
      <c r="CQ86" s="111">
        <f t="shared" si="64"/>
        <v>0</v>
      </c>
      <c r="CS86" s="83">
        <f t="shared" si="65"/>
        <v>0</v>
      </c>
      <c r="CT86" s="83">
        <f t="shared" si="66"/>
        <v>0</v>
      </c>
      <c r="CU86" s="83">
        <f t="shared" si="67"/>
        <v>0</v>
      </c>
      <c r="CV86" s="111">
        <v>0</v>
      </c>
      <c r="CW86" s="111">
        <v>0</v>
      </c>
      <c r="CX86" s="111">
        <v>0</v>
      </c>
      <c r="CY86" s="111">
        <v>0</v>
      </c>
    </row>
    <row r="87" spans="1:103" s="2" customFormat="1" ht="21" thickTop="1" thickBot="1" x14ac:dyDescent="0.3">
      <c r="A87" s="163">
        <v>27</v>
      </c>
      <c r="B87" s="138"/>
      <c r="C87" s="91" t="s">
        <v>11</v>
      </c>
      <c r="D87" s="166"/>
      <c r="E87" s="166"/>
      <c r="F87" s="168"/>
      <c r="G87" s="170"/>
      <c r="H87" s="172"/>
      <c r="I87" s="172"/>
      <c r="J87" s="168"/>
      <c r="K87" s="168"/>
      <c r="L87" s="168"/>
      <c r="M87" s="168"/>
      <c r="N87" s="170"/>
      <c r="O87" s="172"/>
      <c r="P87" s="172"/>
      <c r="Q87" s="168"/>
      <c r="R87" s="168"/>
      <c r="S87" s="168"/>
      <c r="T87" s="174"/>
      <c r="U87" s="170"/>
      <c r="V87" s="172"/>
      <c r="W87" s="172"/>
      <c r="X87" s="168"/>
      <c r="Y87" s="168"/>
      <c r="Z87" s="170"/>
      <c r="AA87" s="170"/>
      <c r="AB87" s="168"/>
      <c r="AC87" s="172"/>
      <c r="AD87" s="172"/>
      <c r="AE87" s="172"/>
      <c r="AF87" s="172"/>
      <c r="AG87" s="168"/>
      <c r="AH87" s="176"/>
      <c r="AI87" s="159">
        <f t="shared" ref="AI87" si="69">SUM(D87:AH87)</f>
        <v>0</v>
      </c>
      <c r="AJ87" s="86"/>
      <c r="AK87" s="18"/>
      <c r="AL87" s="26"/>
      <c r="AM87" s="99">
        <f>SUMIF(D89:AH89, "CO", D87:AH87) + SUMIF(D89:AH89, "CO", D88:AH88)</f>
        <v>0</v>
      </c>
      <c r="AN87" s="61">
        <f ca="1">SUM(AI87:CA87)</f>
        <v>0</v>
      </c>
      <c r="AO87" s="27"/>
      <c r="AP87" s="77"/>
      <c r="AQ87" s="127"/>
      <c r="AR87" s="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CD87" s="83">
        <f t="shared" si="51"/>
        <v>0</v>
      </c>
      <c r="CE87" s="66">
        <f t="shared" si="52"/>
        <v>0</v>
      </c>
      <c r="CF87" s="83">
        <f t="shared" si="53"/>
        <v>0</v>
      </c>
      <c r="CG87" s="65">
        <f t="shared" si="54"/>
        <v>0</v>
      </c>
      <c r="CH87" s="83">
        <f t="shared" si="55"/>
        <v>0</v>
      </c>
      <c r="CI87" s="65">
        <f t="shared" si="56"/>
        <v>0</v>
      </c>
      <c r="CJ87" s="83">
        <f t="shared" si="57"/>
        <v>0</v>
      </c>
      <c r="CK87" s="65">
        <f t="shared" si="58"/>
        <v>0</v>
      </c>
      <c r="CL87" s="83">
        <f t="shared" si="59"/>
        <v>0</v>
      </c>
      <c r="CM87" s="83">
        <f t="shared" si="60"/>
        <v>0</v>
      </c>
      <c r="CN87" s="111">
        <f t="shared" si="61"/>
        <v>0</v>
      </c>
      <c r="CO87" s="111">
        <f t="shared" si="62"/>
        <v>0</v>
      </c>
      <c r="CP87" s="111">
        <f t="shared" si="63"/>
        <v>0</v>
      </c>
      <c r="CQ87" s="111">
        <f t="shared" si="64"/>
        <v>0</v>
      </c>
      <c r="CS87" s="83">
        <f t="shared" si="65"/>
        <v>0</v>
      </c>
      <c r="CT87" s="83">
        <f t="shared" si="66"/>
        <v>0</v>
      </c>
      <c r="CU87" s="83">
        <f t="shared" si="67"/>
        <v>0</v>
      </c>
      <c r="CV87" s="111">
        <v>0</v>
      </c>
      <c r="CW87" s="111">
        <v>0</v>
      </c>
      <c r="CX87" s="111">
        <v>0</v>
      </c>
      <c r="CY87" s="111">
        <v>0</v>
      </c>
    </row>
    <row r="88" spans="1:103" s="2" customFormat="1" ht="22" thickBot="1" x14ac:dyDescent="0.3">
      <c r="A88" s="164"/>
      <c r="B88" s="139"/>
      <c r="C88" s="3" t="s">
        <v>12</v>
      </c>
      <c r="D88" s="167"/>
      <c r="E88" s="167"/>
      <c r="F88" s="169"/>
      <c r="G88" s="171"/>
      <c r="H88" s="173"/>
      <c r="I88" s="173"/>
      <c r="J88" s="169"/>
      <c r="K88" s="169"/>
      <c r="L88" s="169"/>
      <c r="M88" s="169"/>
      <c r="N88" s="171"/>
      <c r="O88" s="173"/>
      <c r="P88" s="173"/>
      <c r="Q88" s="169"/>
      <c r="R88" s="169"/>
      <c r="S88" s="169"/>
      <c r="T88" s="175"/>
      <c r="U88" s="171"/>
      <c r="V88" s="173"/>
      <c r="W88" s="173"/>
      <c r="X88" s="169"/>
      <c r="Y88" s="169"/>
      <c r="Z88" s="171"/>
      <c r="AA88" s="171"/>
      <c r="AB88" s="169"/>
      <c r="AC88" s="173"/>
      <c r="AD88" s="173"/>
      <c r="AE88" s="173"/>
      <c r="AF88" s="173"/>
      <c r="AG88" s="169"/>
      <c r="AH88" s="177"/>
      <c r="AI88" s="160"/>
      <c r="AJ88" s="11"/>
      <c r="AK88" s="7"/>
      <c r="AL88" s="7"/>
      <c r="AM88" s="11"/>
      <c r="AN88" s="59"/>
      <c r="AO88" s="5"/>
      <c r="AP88" s="78"/>
      <c r="AQ88" s="127"/>
      <c r="AR88" s="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CD88" s="83">
        <f t="shared" si="51"/>
        <v>0</v>
      </c>
      <c r="CE88" s="66">
        <f t="shared" si="52"/>
        <v>0</v>
      </c>
      <c r="CF88" s="83">
        <f t="shared" si="53"/>
        <v>0</v>
      </c>
      <c r="CG88" s="65">
        <f t="shared" si="54"/>
        <v>0</v>
      </c>
      <c r="CH88" s="83">
        <f t="shared" si="55"/>
        <v>0</v>
      </c>
      <c r="CI88" s="65">
        <f t="shared" si="56"/>
        <v>0</v>
      </c>
      <c r="CJ88" s="83">
        <f t="shared" si="57"/>
        <v>0</v>
      </c>
      <c r="CK88" s="65">
        <f t="shared" si="58"/>
        <v>0</v>
      </c>
      <c r="CL88" s="83">
        <f t="shared" si="59"/>
        <v>0</v>
      </c>
      <c r="CM88" s="83">
        <f t="shared" si="60"/>
        <v>0</v>
      </c>
      <c r="CN88" s="111">
        <f t="shared" si="61"/>
        <v>0</v>
      </c>
      <c r="CO88" s="111">
        <f t="shared" si="62"/>
        <v>0</v>
      </c>
      <c r="CP88" s="111">
        <f t="shared" si="63"/>
        <v>0</v>
      </c>
      <c r="CQ88" s="111">
        <f t="shared" si="64"/>
        <v>0</v>
      </c>
      <c r="CS88" s="83">
        <f t="shared" ca="1" si="65"/>
        <v>0</v>
      </c>
      <c r="CT88" s="83">
        <f t="shared" ca="1" si="66"/>
        <v>0</v>
      </c>
      <c r="CU88" s="83">
        <f t="shared" ca="1" si="67"/>
        <v>0</v>
      </c>
      <c r="CV88" s="111">
        <v>0</v>
      </c>
      <c r="CW88" s="111">
        <v>0</v>
      </c>
      <c r="CX88" s="111">
        <v>0</v>
      </c>
      <c r="CY88" s="111">
        <v>0</v>
      </c>
    </row>
    <row r="89" spans="1:103" s="2" customFormat="1" ht="20" thickBot="1" x14ac:dyDescent="0.3">
      <c r="A89" s="165"/>
      <c r="B89" s="140"/>
      <c r="C89" s="92" t="s">
        <v>4</v>
      </c>
      <c r="D89" s="88"/>
      <c r="E89" s="88"/>
      <c r="F89" s="88"/>
      <c r="G89" s="89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90"/>
      <c r="AI89" s="36"/>
      <c r="AJ89" s="34"/>
      <c r="AK89" s="28"/>
      <c r="AL89" s="28"/>
      <c r="AM89" s="34"/>
      <c r="AN89" s="60"/>
      <c r="AO89" s="30"/>
      <c r="AP89" s="74"/>
      <c r="AQ89" s="127"/>
      <c r="AR89" s="5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CD89" s="83">
        <f t="shared" si="51"/>
        <v>0</v>
      </c>
      <c r="CE89" s="66">
        <f t="shared" si="52"/>
        <v>0</v>
      </c>
      <c r="CF89" s="83">
        <f t="shared" si="53"/>
        <v>0</v>
      </c>
      <c r="CG89" s="65">
        <f t="shared" si="54"/>
        <v>0</v>
      </c>
      <c r="CH89" s="83">
        <f t="shared" si="55"/>
        <v>0</v>
      </c>
      <c r="CI89" s="65">
        <f t="shared" si="56"/>
        <v>0</v>
      </c>
      <c r="CJ89" s="83">
        <f t="shared" si="57"/>
        <v>0</v>
      </c>
      <c r="CK89" s="65">
        <f t="shared" si="58"/>
        <v>0</v>
      </c>
      <c r="CL89" s="83">
        <f t="shared" si="59"/>
        <v>0</v>
      </c>
      <c r="CM89" s="83">
        <f t="shared" si="60"/>
        <v>0</v>
      </c>
      <c r="CN89" s="111">
        <f t="shared" si="61"/>
        <v>0</v>
      </c>
      <c r="CO89" s="111">
        <f t="shared" si="62"/>
        <v>0</v>
      </c>
      <c r="CP89" s="111">
        <f t="shared" si="63"/>
        <v>0</v>
      </c>
      <c r="CQ89" s="111">
        <f t="shared" si="64"/>
        <v>0</v>
      </c>
      <c r="CS89" s="83">
        <f t="shared" si="65"/>
        <v>0</v>
      </c>
      <c r="CT89" s="83">
        <f t="shared" si="66"/>
        <v>0</v>
      </c>
      <c r="CU89" s="83">
        <f t="shared" si="67"/>
        <v>0</v>
      </c>
      <c r="CV89" s="111">
        <v>0</v>
      </c>
      <c r="CW89" s="111">
        <v>0</v>
      </c>
      <c r="CX89" s="111">
        <v>0</v>
      </c>
      <c r="CY89" s="111">
        <v>0</v>
      </c>
    </row>
    <row r="90" spans="1:103" s="2" customFormat="1" ht="21" thickTop="1" thickBot="1" x14ac:dyDescent="0.3">
      <c r="A90" s="163">
        <v>28</v>
      </c>
      <c r="B90" s="138"/>
      <c r="C90" s="91" t="s">
        <v>11</v>
      </c>
      <c r="D90" s="166"/>
      <c r="E90" s="166"/>
      <c r="F90" s="168"/>
      <c r="G90" s="170"/>
      <c r="H90" s="172"/>
      <c r="I90" s="172"/>
      <c r="J90" s="168"/>
      <c r="K90" s="168"/>
      <c r="L90" s="168"/>
      <c r="M90" s="168"/>
      <c r="N90" s="170"/>
      <c r="O90" s="172"/>
      <c r="P90" s="172"/>
      <c r="Q90" s="168"/>
      <c r="R90" s="168"/>
      <c r="S90" s="168"/>
      <c r="T90" s="174"/>
      <c r="U90" s="170"/>
      <c r="V90" s="172"/>
      <c r="W90" s="172"/>
      <c r="X90" s="168"/>
      <c r="Y90" s="168"/>
      <c r="Z90" s="170"/>
      <c r="AA90" s="170"/>
      <c r="AB90" s="168"/>
      <c r="AC90" s="172"/>
      <c r="AD90" s="172"/>
      <c r="AE90" s="172"/>
      <c r="AF90" s="172"/>
      <c r="AG90" s="168"/>
      <c r="AH90" s="176"/>
      <c r="AI90" s="159">
        <f t="shared" ref="AI90" si="70">SUM(D90:AH90)</f>
        <v>0</v>
      </c>
      <c r="AJ90" s="87"/>
      <c r="AK90" s="18"/>
      <c r="AL90" s="26"/>
      <c r="AM90" s="100">
        <f>SUMIF(D92:AH92, "CO", D90:AH90) + SUMIF(D92:AH92, "CO", D91:AH91)</f>
        <v>0</v>
      </c>
      <c r="AN90" s="61">
        <f ca="1">SUM(AI90:CA90)</f>
        <v>0</v>
      </c>
      <c r="AO90" s="27"/>
      <c r="AP90" s="77"/>
      <c r="AQ90" s="127"/>
      <c r="AR90" s="5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CD90" s="83">
        <f t="shared" si="51"/>
        <v>0</v>
      </c>
      <c r="CE90" s="66">
        <f t="shared" si="52"/>
        <v>0</v>
      </c>
      <c r="CF90" s="83">
        <f t="shared" si="53"/>
        <v>0</v>
      </c>
      <c r="CG90" s="65">
        <f t="shared" si="54"/>
        <v>0</v>
      </c>
      <c r="CH90" s="83">
        <f t="shared" si="55"/>
        <v>0</v>
      </c>
      <c r="CI90" s="65">
        <f t="shared" si="56"/>
        <v>0</v>
      </c>
      <c r="CJ90" s="83">
        <f t="shared" si="57"/>
        <v>0</v>
      </c>
      <c r="CK90" s="65">
        <f t="shared" si="58"/>
        <v>0</v>
      </c>
      <c r="CL90" s="83">
        <f t="shared" si="59"/>
        <v>0</v>
      </c>
      <c r="CM90" s="83">
        <f t="shared" si="60"/>
        <v>0</v>
      </c>
      <c r="CN90" s="111">
        <f t="shared" si="61"/>
        <v>0</v>
      </c>
      <c r="CO90" s="111">
        <f t="shared" si="62"/>
        <v>0</v>
      </c>
      <c r="CP90" s="111">
        <f t="shared" si="63"/>
        <v>0</v>
      </c>
      <c r="CQ90" s="111">
        <f t="shared" si="64"/>
        <v>0</v>
      </c>
      <c r="CS90" s="83">
        <f t="shared" si="65"/>
        <v>0</v>
      </c>
      <c r="CT90" s="83">
        <f t="shared" si="66"/>
        <v>0</v>
      </c>
      <c r="CU90" s="83">
        <f t="shared" si="67"/>
        <v>0</v>
      </c>
      <c r="CV90" s="111">
        <v>0</v>
      </c>
      <c r="CW90" s="111">
        <v>0</v>
      </c>
      <c r="CX90" s="111">
        <v>0</v>
      </c>
      <c r="CY90" s="111">
        <v>0</v>
      </c>
    </row>
    <row r="91" spans="1:103" s="2" customFormat="1" ht="22" thickBot="1" x14ac:dyDescent="0.3">
      <c r="A91" s="164"/>
      <c r="B91" s="139"/>
      <c r="C91" s="3" t="s">
        <v>12</v>
      </c>
      <c r="D91" s="167"/>
      <c r="E91" s="167"/>
      <c r="F91" s="169"/>
      <c r="G91" s="171"/>
      <c r="H91" s="173"/>
      <c r="I91" s="173"/>
      <c r="J91" s="169"/>
      <c r="K91" s="169"/>
      <c r="L91" s="169"/>
      <c r="M91" s="169"/>
      <c r="N91" s="171"/>
      <c r="O91" s="173"/>
      <c r="P91" s="173"/>
      <c r="Q91" s="169"/>
      <c r="R91" s="169"/>
      <c r="S91" s="169"/>
      <c r="T91" s="175"/>
      <c r="U91" s="171"/>
      <c r="V91" s="173"/>
      <c r="W91" s="173"/>
      <c r="X91" s="169"/>
      <c r="Y91" s="169"/>
      <c r="Z91" s="171"/>
      <c r="AA91" s="171"/>
      <c r="AB91" s="169"/>
      <c r="AC91" s="173"/>
      <c r="AD91" s="173"/>
      <c r="AE91" s="173"/>
      <c r="AF91" s="173"/>
      <c r="AG91" s="169"/>
      <c r="AH91" s="177"/>
      <c r="AI91" s="160"/>
      <c r="AJ91" s="11"/>
      <c r="AK91" s="7"/>
      <c r="AL91" s="7"/>
      <c r="AM91" s="11"/>
      <c r="AN91" s="59"/>
      <c r="AO91" s="5"/>
      <c r="AP91" s="78"/>
      <c r="AQ91" s="127"/>
      <c r="AR91" s="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CD91" s="83">
        <f t="shared" si="51"/>
        <v>0</v>
      </c>
      <c r="CE91" s="66">
        <f t="shared" si="52"/>
        <v>0</v>
      </c>
      <c r="CF91" s="83">
        <f t="shared" si="53"/>
        <v>0</v>
      </c>
      <c r="CG91" s="65">
        <f t="shared" si="54"/>
        <v>0</v>
      </c>
      <c r="CH91" s="83">
        <f t="shared" si="55"/>
        <v>0</v>
      </c>
      <c r="CI91" s="65">
        <f t="shared" si="56"/>
        <v>0</v>
      </c>
      <c r="CJ91" s="83">
        <f t="shared" si="57"/>
        <v>0</v>
      </c>
      <c r="CK91" s="65">
        <f t="shared" si="58"/>
        <v>0</v>
      </c>
      <c r="CL91" s="83">
        <f t="shared" si="59"/>
        <v>0</v>
      </c>
      <c r="CM91" s="83">
        <f t="shared" si="60"/>
        <v>0</v>
      </c>
      <c r="CN91" s="111">
        <f t="shared" si="61"/>
        <v>0</v>
      </c>
      <c r="CO91" s="111">
        <f t="shared" si="62"/>
        <v>0</v>
      </c>
      <c r="CP91" s="111">
        <f t="shared" si="63"/>
        <v>0</v>
      </c>
      <c r="CQ91" s="111">
        <f t="shared" si="64"/>
        <v>0</v>
      </c>
      <c r="CS91" s="83">
        <f t="shared" ca="1" si="65"/>
        <v>0</v>
      </c>
      <c r="CT91" s="83">
        <f t="shared" ca="1" si="66"/>
        <v>0</v>
      </c>
      <c r="CU91" s="83">
        <f t="shared" ca="1" si="67"/>
        <v>0</v>
      </c>
      <c r="CV91" s="111">
        <v>0</v>
      </c>
      <c r="CW91" s="111">
        <v>0</v>
      </c>
      <c r="CX91" s="111">
        <v>0</v>
      </c>
      <c r="CY91" s="111">
        <v>0</v>
      </c>
    </row>
    <row r="92" spans="1:103" s="2" customFormat="1" ht="20" thickBot="1" x14ac:dyDescent="0.3">
      <c r="A92" s="165"/>
      <c r="B92" s="140"/>
      <c r="C92" s="92" t="s">
        <v>4</v>
      </c>
      <c r="D92" s="88"/>
      <c r="E92" s="88"/>
      <c r="F92" s="88"/>
      <c r="G92" s="89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90"/>
      <c r="AI92" s="36"/>
      <c r="AJ92" s="34"/>
      <c r="AK92" s="28"/>
      <c r="AL92" s="28"/>
      <c r="AM92" s="34"/>
      <c r="AN92" s="60"/>
      <c r="AO92" s="30"/>
      <c r="AP92" s="74"/>
      <c r="AQ92" s="127"/>
      <c r="AR92" s="5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CD92" s="83">
        <f t="shared" si="51"/>
        <v>0</v>
      </c>
      <c r="CE92" s="66">
        <f t="shared" si="52"/>
        <v>0</v>
      </c>
      <c r="CF92" s="83">
        <f t="shared" si="53"/>
        <v>0</v>
      </c>
      <c r="CG92" s="65">
        <f t="shared" si="54"/>
        <v>0</v>
      </c>
      <c r="CH92" s="83">
        <f t="shared" si="55"/>
        <v>0</v>
      </c>
      <c r="CI92" s="65">
        <f t="shared" si="56"/>
        <v>0</v>
      </c>
      <c r="CJ92" s="83">
        <f t="shared" si="57"/>
        <v>0</v>
      </c>
      <c r="CK92" s="65">
        <f t="shared" si="58"/>
        <v>0</v>
      </c>
      <c r="CL92" s="83">
        <f t="shared" si="59"/>
        <v>0</v>
      </c>
      <c r="CM92" s="83">
        <f t="shared" si="60"/>
        <v>0</v>
      </c>
      <c r="CN92" s="111">
        <f t="shared" si="61"/>
        <v>0</v>
      </c>
      <c r="CO92" s="111">
        <f t="shared" si="62"/>
        <v>0</v>
      </c>
      <c r="CP92" s="111">
        <f t="shared" si="63"/>
        <v>0</v>
      </c>
      <c r="CQ92" s="111">
        <f t="shared" si="64"/>
        <v>0</v>
      </c>
      <c r="CS92" s="83">
        <f t="shared" si="65"/>
        <v>0</v>
      </c>
      <c r="CT92" s="83">
        <f t="shared" si="66"/>
        <v>0</v>
      </c>
      <c r="CU92" s="83">
        <f t="shared" si="67"/>
        <v>0</v>
      </c>
      <c r="CV92" s="111">
        <v>0</v>
      </c>
      <c r="CW92" s="111">
        <v>0</v>
      </c>
      <c r="CX92" s="111">
        <v>0</v>
      </c>
      <c r="CY92" s="111">
        <v>0</v>
      </c>
    </row>
    <row r="93" spans="1:103" s="2" customFormat="1" ht="21" thickTop="1" thickBot="1" x14ac:dyDescent="0.3">
      <c r="A93" s="163">
        <v>29</v>
      </c>
      <c r="B93" s="138"/>
      <c r="C93" s="91" t="s">
        <v>11</v>
      </c>
      <c r="D93" s="166"/>
      <c r="E93" s="166"/>
      <c r="F93" s="168"/>
      <c r="G93" s="170"/>
      <c r="H93" s="172"/>
      <c r="I93" s="172"/>
      <c r="J93" s="168"/>
      <c r="K93" s="168"/>
      <c r="L93" s="168"/>
      <c r="M93" s="168"/>
      <c r="N93" s="170"/>
      <c r="O93" s="172"/>
      <c r="P93" s="172"/>
      <c r="Q93" s="168"/>
      <c r="R93" s="168"/>
      <c r="S93" s="168"/>
      <c r="T93" s="174"/>
      <c r="U93" s="170"/>
      <c r="V93" s="172"/>
      <c r="W93" s="172"/>
      <c r="X93" s="168"/>
      <c r="Y93" s="168"/>
      <c r="Z93" s="170"/>
      <c r="AA93" s="170"/>
      <c r="AB93" s="168"/>
      <c r="AC93" s="172"/>
      <c r="AD93" s="172"/>
      <c r="AE93" s="172"/>
      <c r="AF93" s="172"/>
      <c r="AG93" s="168"/>
      <c r="AH93" s="176"/>
      <c r="AI93" s="159">
        <f t="shared" ref="AI93" si="71">SUM(D93:AH93)</f>
        <v>0</v>
      </c>
      <c r="AJ93" s="86"/>
      <c r="AK93" s="18"/>
      <c r="AL93" s="26"/>
      <c r="AM93" s="99">
        <f>SUMIF(D95:AH95, "CO", D93:AH93) + SUMIF(D95:AH95, "CO", D94:AH94)</f>
        <v>0</v>
      </c>
      <c r="AN93" s="61">
        <f ca="1">SUM(AI93:CA93)</f>
        <v>0</v>
      </c>
      <c r="AO93" s="27"/>
      <c r="AP93" s="77"/>
      <c r="AQ93" s="127"/>
      <c r="AR93" s="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CD93" s="83">
        <f t="shared" si="51"/>
        <v>0</v>
      </c>
      <c r="CE93" s="66">
        <f t="shared" si="52"/>
        <v>0</v>
      </c>
      <c r="CF93" s="83">
        <f t="shared" si="53"/>
        <v>0</v>
      </c>
      <c r="CG93" s="65">
        <f t="shared" si="54"/>
        <v>0</v>
      </c>
      <c r="CH93" s="83">
        <f t="shared" si="55"/>
        <v>0</v>
      </c>
      <c r="CI93" s="65">
        <f t="shared" si="56"/>
        <v>0</v>
      </c>
      <c r="CJ93" s="83">
        <f t="shared" si="57"/>
        <v>0</v>
      </c>
      <c r="CK93" s="65">
        <f t="shared" si="58"/>
        <v>0</v>
      </c>
      <c r="CL93" s="83">
        <f t="shared" si="59"/>
        <v>0</v>
      </c>
      <c r="CM93" s="83">
        <f t="shared" si="60"/>
        <v>0</v>
      </c>
      <c r="CN93" s="111">
        <f t="shared" si="61"/>
        <v>0</v>
      </c>
      <c r="CO93" s="111">
        <f t="shared" si="62"/>
        <v>0</v>
      </c>
      <c r="CP93" s="111">
        <f t="shared" si="63"/>
        <v>0</v>
      </c>
      <c r="CQ93" s="111">
        <f t="shared" si="64"/>
        <v>0</v>
      </c>
      <c r="CS93" s="83">
        <f t="shared" si="65"/>
        <v>0</v>
      </c>
      <c r="CT93" s="83">
        <f t="shared" si="66"/>
        <v>0</v>
      </c>
      <c r="CU93" s="83">
        <f t="shared" si="67"/>
        <v>0</v>
      </c>
      <c r="CV93" s="111">
        <v>0</v>
      </c>
      <c r="CW93" s="111">
        <v>0</v>
      </c>
      <c r="CX93" s="111">
        <v>0</v>
      </c>
      <c r="CY93" s="111">
        <v>0</v>
      </c>
    </row>
    <row r="94" spans="1:103" s="2" customFormat="1" ht="22" thickBot="1" x14ac:dyDescent="0.3">
      <c r="A94" s="164"/>
      <c r="B94" s="139"/>
      <c r="C94" s="3" t="s">
        <v>12</v>
      </c>
      <c r="D94" s="167"/>
      <c r="E94" s="167"/>
      <c r="F94" s="169"/>
      <c r="G94" s="171"/>
      <c r="H94" s="173"/>
      <c r="I94" s="173"/>
      <c r="J94" s="169"/>
      <c r="K94" s="169"/>
      <c r="L94" s="169"/>
      <c r="M94" s="169"/>
      <c r="N94" s="171"/>
      <c r="O94" s="173"/>
      <c r="P94" s="173"/>
      <c r="Q94" s="169"/>
      <c r="R94" s="169"/>
      <c r="S94" s="169"/>
      <c r="T94" s="175"/>
      <c r="U94" s="171"/>
      <c r="V94" s="173"/>
      <c r="W94" s="173"/>
      <c r="X94" s="169"/>
      <c r="Y94" s="169"/>
      <c r="Z94" s="171"/>
      <c r="AA94" s="171"/>
      <c r="AB94" s="169"/>
      <c r="AC94" s="173"/>
      <c r="AD94" s="173"/>
      <c r="AE94" s="173"/>
      <c r="AF94" s="173"/>
      <c r="AG94" s="169"/>
      <c r="AH94" s="177"/>
      <c r="AI94" s="160"/>
      <c r="AJ94" s="11"/>
      <c r="AK94" s="7"/>
      <c r="AL94" s="7"/>
      <c r="AM94" s="11"/>
      <c r="AN94" s="59"/>
      <c r="AO94" s="5"/>
      <c r="AP94" s="78"/>
      <c r="AQ94" s="127"/>
      <c r="AR94" s="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CD94" s="83">
        <f t="shared" si="51"/>
        <v>0</v>
      </c>
      <c r="CE94" s="66">
        <f t="shared" si="52"/>
        <v>0</v>
      </c>
      <c r="CF94" s="83">
        <f t="shared" si="53"/>
        <v>0</v>
      </c>
      <c r="CG94" s="65">
        <f t="shared" si="54"/>
        <v>0</v>
      </c>
      <c r="CH94" s="83">
        <f t="shared" si="55"/>
        <v>0</v>
      </c>
      <c r="CI94" s="65">
        <f t="shared" si="56"/>
        <v>0</v>
      </c>
      <c r="CJ94" s="83">
        <f t="shared" si="57"/>
        <v>0</v>
      </c>
      <c r="CK94" s="65">
        <f t="shared" si="58"/>
        <v>0</v>
      </c>
      <c r="CL94" s="83">
        <f t="shared" si="59"/>
        <v>0</v>
      </c>
      <c r="CM94" s="83">
        <f t="shared" si="60"/>
        <v>0</v>
      </c>
      <c r="CN94" s="111">
        <f t="shared" si="61"/>
        <v>0</v>
      </c>
      <c r="CO94" s="111">
        <f t="shared" si="62"/>
        <v>0</v>
      </c>
      <c r="CP94" s="111">
        <f t="shared" si="63"/>
        <v>0</v>
      </c>
      <c r="CQ94" s="111">
        <f t="shared" si="64"/>
        <v>0</v>
      </c>
      <c r="CS94" s="83">
        <f t="shared" ca="1" si="65"/>
        <v>0</v>
      </c>
      <c r="CT94" s="83">
        <f t="shared" ca="1" si="66"/>
        <v>0</v>
      </c>
      <c r="CU94" s="83">
        <f t="shared" ca="1" si="67"/>
        <v>0</v>
      </c>
      <c r="CV94" s="111">
        <v>0</v>
      </c>
      <c r="CW94" s="111">
        <v>0</v>
      </c>
      <c r="CX94" s="111">
        <v>0</v>
      </c>
      <c r="CY94" s="111">
        <v>0</v>
      </c>
    </row>
    <row r="95" spans="1:103" s="2" customFormat="1" ht="20" thickBot="1" x14ac:dyDescent="0.3">
      <c r="A95" s="165"/>
      <c r="B95" s="140"/>
      <c r="C95" s="92" t="s">
        <v>4</v>
      </c>
      <c r="D95" s="88"/>
      <c r="E95" s="88"/>
      <c r="F95" s="88"/>
      <c r="G95" s="89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90"/>
      <c r="AI95" s="36"/>
      <c r="AJ95" s="34"/>
      <c r="AK95" s="47"/>
      <c r="AL95" s="47"/>
      <c r="AM95" s="34"/>
      <c r="AN95" s="62"/>
      <c r="AO95" s="48"/>
      <c r="AP95" s="79"/>
      <c r="AQ95" s="128"/>
      <c r="AR95" s="5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CD95" s="83">
        <f t="shared" si="51"/>
        <v>0</v>
      </c>
      <c r="CE95" s="66">
        <f t="shared" si="52"/>
        <v>0</v>
      </c>
      <c r="CF95" s="83">
        <f t="shared" si="53"/>
        <v>0</v>
      </c>
      <c r="CG95" s="65">
        <f t="shared" si="54"/>
        <v>0</v>
      </c>
      <c r="CH95" s="83">
        <f t="shared" si="55"/>
        <v>0</v>
      </c>
      <c r="CI95" s="65">
        <f t="shared" si="56"/>
        <v>0</v>
      </c>
      <c r="CJ95" s="83">
        <f t="shared" si="57"/>
        <v>0</v>
      </c>
      <c r="CK95" s="65">
        <f t="shared" si="58"/>
        <v>0</v>
      </c>
      <c r="CL95" s="83">
        <f t="shared" si="59"/>
        <v>0</v>
      </c>
      <c r="CM95" s="83">
        <f t="shared" si="60"/>
        <v>0</v>
      </c>
      <c r="CN95" s="111">
        <f t="shared" si="61"/>
        <v>0</v>
      </c>
      <c r="CO95" s="111">
        <f t="shared" si="62"/>
        <v>0</v>
      </c>
      <c r="CP95" s="111">
        <f t="shared" si="63"/>
        <v>0</v>
      </c>
      <c r="CQ95" s="111">
        <f t="shared" si="64"/>
        <v>0</v>
      </c>
      <c r="CS95" s="83">
        <f t="shared" si="65"/>
        <v>0</v>
      </c>
      <c r="CT95" s="83">
        <f t="shared" si="66"/>
        <v>0</v>
      </c>
      <c r="CU95" s="83">
        <f t="shared" si="67"/>
        <v>0</v>
      </c>
      <c r="CV95" s="111">
        <v>0</v>
      </c>
      <c r="CW95" s="111">
        <v>0</v>
      </c>
      <c r="CX95" s="111">
        <v>0</v>
      </c>
      <c r="CY95" s="111">
        <v>0</v>
      </c>
    </row>
    <row r="96" spans="1:103" s="2" customFormat="1" ht="20" thickTop="1" x14ac:dyDescent="0.25">
      <c r="A96" s="163">
        <v>30</v>
      </c>
      <c r="B96" s="138"/>
      <c r="C96" s="91" t="s">
        <v>11</v>
      </c>
      <c r="D96" s="166"/>
      <c r="E96" s="166"/>
      <c r="F96" s="168"/>
      <c r="G96" s="170"/>
      <c r="H96" s="172"/>
      <c r="I96" s="172"/>
      <c r="J96" s="168"/>
      <c r="K96" s="168"/>
      <c r="L96" s="168"/>
      <c r="M96" s="168"/>
      <c r="N96" s="170"/>
      <c r="O96" s="172"/>
      <c r="P96" s="172"/>
      <c r="Q96" s="168"/>
      <c r="R96" s="168"/>
      <c r="S96" s="168"/>
      <c r="T96" s="174"/>
      <c r="U96" s="170"/>
      <c r="V96" s="172"/>
      <c r="W96" s="172"/>
      <c r="X96" s="168"/>
      <c r="Y96" s="168"/>
      <c r="Z96" s="170"/>
      <c r="AA96" s="170"/>
      <c r="AB96" s="168"/>
      <c r="AC96" s="172"/>
      <c r="AD96" s="172"/>
      <c r="AE96" s="172"/>
      <c r="AF96" s="172"/>
      <c r="AG96" s="168"/>
      <c r="AH96" s="176"/>
      <c r="AI96" s="159">
        <f t="shared" ref="AI96" si="72">SUM(D96:AH96)</f>
        <v>0</v>
      </c>
      <c r="AJ96" s="87"/>
      <c r="AK96" s="7"/>
      <c r="AL96" s="7"/>
      <c r="AM96" s="100">
        <f>SUMIF(D98:AH98, "CO", D96:AH96) + SUMIF(D98:AH98, "CO", D97:AH97)</f>
        <v>0</v>
      </c>
      <c r="AN96" s="59">
        <f ca="1">SUM(AI96:CA96)</f>
        <v>0</v>
      </c>
      <c r="AO96" s="5"/>
      <c r="AP96" s="73"/>
      <c r="AQ96" s="129"/>
      <c r="AR96" s="5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CD96" s="83">
        <f t="shared" si="51"/>
        <v>0</v>
      </c>
      <c r="CE96" s="66">
        <f t="shared" si="52"/>
        <v>0</v>
      </c>
      <c r="CF96" s="83">
        <f t="shared" si="53"/>
        <v>0</v>
      </c>
      <c r="CG96" s="65">
        <f t="shared" si="54"/>
        <v>0</v>
      </c>
      <c r="CH96" s="83">
        <f t="shared" si="55"/>
        <v>0</v>
      </c>
      <c r="CI96" s="65">
        <f t="shared" si="56"/>
        <v>0</v>
      </c>
      <c r="CJ96" s="83">
        <f t="shared" si="57"/>
        <v>0</v>
      </c>
      <c r="CK96" s="65">
        <f t="shared" si="58"/>
        <v>0</v>
      </c>
      <c r="CL96" s="83">
        <f t="shared" si="59"/>
        <v>0</v>
      </c>
      <c r="CM96" s="83">
        <f t="shared" si="60"/>
        <v>0</v>
      </c>
      <c r="CN96" s="111">
        <f t="shared" si="61"/>
        <v>0</v>
      </c>
      <c r="CO96" s="111">
        <f t="shared" si="62"/>
        <v>0</v>
      </c>
      <c r="CP96" s="111">
        <f t="shared" si="63"/>
        <v>0</v>
      </c>
      <c r="CQ96" s="111">
        <f t="shared" si="64"/>
        <v>0</v>
      </c>
      <c r="CS96" s="83">
        <f t="shared" si="65"/>
        <v>0</v>
      </c>
      <c r="CT96" s="83">
        <f t="shared" si="66"/>
        <v>0</v>
      </c>
      <c r="CU96" s="83">
        <f t="shared" si="67"/>
        <v>0</v>
      </c>
      <c r="CV96" s="111">
        <v>0</v>
      </c>
      <c r="CW96" s="111">
        <v>0</v>
      </c>
      <c r="CX96" s="111">
        <v>0</v>
      </c>
      <c r="CY96" s="111">
        <v>0</v>
      </c>
    </row>
    <row r="97" spans="1:103" s="2" customFormat="1" ht="21" x14ac:dyDescent="0.25">
      <c r="A97" s="164"/>
      <c r="B97" s="139"/>
      <c r="C97" s="3" t="s">
        <v>12</v>
      </c>
      <c r="D97" s="167"/>
      <c r="E97" s="167"/>
      <c r="F97" s="169"/>
      <c r="G97" s="171"/>
      <c r="H97" s="173"/>
      <c r="I97" s="173"/>
      <c r="J97" s="169"/>
      <c r="K97" s="169"/>
      <c r="L97" s="169"/>
      <c r="M97" s="169"/>
      <c r="N97" s="171"/>
      <c r="O97" s="173"/>
      <c r="P97" s="173"/>
      <c r="Q97" s="169"/>
      <c r="R97" s="169"/>
      <c r="S97" s="169"/>
      <c r="T97" s="175"/>
      <c r="U97" s="171"/>
      <c r="V97" s="173"/>
      <c r="W97" s="173"/>
      <c r="X97" s="169"/>
      <c r="Y97" s="169"/>
      <c r="Z97" s="171"/>
      <c r="AA97" s="171"/>
      <c r="AB97" s="169"/>
      <c r="AC97" s="173"/>
      <c r="AD97" s="173"/>
      <c r="AE97" s="173"/>
      <c r="AF97" s="173"/>
      <c r="AG97" s="169"/>
      <c r="AH97" s="177"/>
      <c r="AI97" s="160"/>
      <c r="AJ97" s="11"/>
      <c r="AK97" s="7"/>
      <c r="AL97" s="7"/>
      <c r="AM97" s="11"/>
      <c r="AN97" s="59"/>
      <c r="AO97" s="5"/>
      <c r="AP97" s="78"/>
      <c r="AQ97" s="129"/>
      <c r="AR97" s="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CD97" s="83">
        <f t="shared" si="51"/>
        <v>0</v>
      </c>
      <c r="CE97" s="66">
        <f t="shared" si="52"/>
        <v>0</v>
      </c>
      <c r="CF97" s="83">
        <f t="shared" si="53"/>
        <v>0</v>
      </c>
      <c r="CG97" s="65">
        <f t="shared" si="54"/>
        <v>0</v>
      </c>
      <c r="CH97" s="83">
        <f t="shared" si="55"/>
        <v>0</v>
      </c>
      <c r="CI97" s="65">
        <f t="shared" si="56"/>
        <v>0</v>
      </c>
      <c r="CJ97" s="83">
        <f t="shared" si="57"/>
        <v>0</v>
      </c>
      <c r="CK97" s="65">
        <f t="shared" si="58"/>
        <v>0</v>
      </c>
      <c r="CL97" s="83">
        <f t="shared" si="59"/>
        <v>0</v>
      </c>
      <c r="CM97" s="83">
        <f t="shared" si="60"/>
        <v>0</v>
      </c>
      <c r="CN97" s="111">
        <f t="shared" si="61"/>
        <v>0</v>
      </c>
      <c r="CO97" s="111">
        <f t="shared" si="62"/>
        <v>0</v>
      </c>
      <c r="CP97" s="111">
        <f t="shared" si="63"/>
        <v>0</v>
      </c>
      <c r="CQ97" s="111">
        <f t="shared" si="64"/>
        <v>0</v>
      </c>
      <c r="CS97" s="83">
        <f t="shared" ca="1" si="65"/>
        <v>0</v>
      </c>
      <c r="CT97" s="83">
        <f t="shared" ca="1" si="66"/>
        <v>0</v>
      </c>
      <c r="CU97" s="83">
        <f t="shared" ca="1" si="67"/>
        <v>0</v>
      </c>
      <c r="CV97" s="111">
        <v>0</v>
      </c>
      <c r="CW97" s="111">
        <v>0</v>
      </c>
      <c r="CX97" s="111">
        <v>0</v>
      </c>
      <c r="CY97" s="111">
        <v>0</v>
      </c>
    </row>
    <row r="98" spans="1:103" s="2" customFormat="1" ht="22" thickBot="1" x14ac:dyDescent="0.3">
      <c r="A98" s="165"/>
      <c r="B98" s="140"/>
      <c r="C98" s="92" t="s">
        <v>4</v>
      </c>
      <c r="D98" s="88"/>
      <c r="E98" s="88"/>
      <c r="F98" s="88"/>
      <c r="G98" s="89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90"/>
      <c r="AI98" s="36"/>
      <c r="AJ98" s="34"/>
      <c r="AK98" s="7"/>
      <c r="AL98" s="7"/>
      <c r="AM98" s="34"/>
      <c r="AN98" s="59"/>
      <c r="AO98" s="5"/>
      <c r="AP98" s="78"/>
      <c r="AQ98" s="129"/>
      <c r="AR98" s="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CD98" s="83">
        <f t="shared" si="51"/>
        <v>0</v>
      </c>
      <c r="CE98" s="66">
        <f t="shared" si="52"/>
        <v>0</v>
      </c>
      <c r="CF98" s="83">
        <f t="shared" si="53"/>
        <v>0</v>
      </c>
      <c r="CG98" s="65">
        <f t="shared" si="54"/>
        <v>0</v>
      </c>
      <c r="CH98" s="83">
        <f t="shared" si="55"/>
        <v>0</v>
      </c>
      <c r="CI98" s="65">
        <f t="shared" si="56"/>
        <v>0</v>
      </c>
      <c r="CJ98" s="83">
        <f t="shared" si="57"/>
        <v>0</v>
      </c>
      <c r="CK98" s="65">
        <f t="shared" si="58"/>
        <v>0</v>
      </c>
      <c r="CL98" s="83">
        <f t="shared" si="59"/>
        <v>0</v>
      </c>
      <c r="CM98" s="83">
        <f t="shared" si="60"/>
        <v>0</v>
      </c>
      <c r="CN98" s="111">
        <f t="shared" si="61"/>
        <v>0</v>
      </c>
      <c r="CO98" s="111">
        <f t="shared" si="62"/>
        <v>0</v>
      </c>
      <c r="CP98" s="111">
        <f t="shared" si="63"/>
        <v>0</v>
      </c>
      <c r="CQ98" s="111">
        <f t="shared" si="64"/>
        <v>0</v>
      </c>
      <c r="CS98" s="83">
        <f t="shared" si="65"/>
        <v>0</v>
      </c>
      <c r="CT98" s="83">
        <f t="shared" si="66"/>
        <v>0</v>
      </c>
      <c r="CU98" s="83">
        <f t="shared" si="67"/>
        <v>0</v>
      </c>
      <c r="CV98" s="111">
        <v>0</v>
      </c>
      <c r="CW98" s="111">
        <v>0</v>
      </c>
      <c r="CX98" s="111">
        <v>0</v>
      </c>
      <c r="CY98" s="111">
        <v>0</v>
      </c>
    </row>
    <row r="99" spans="1:103" s="2" customFormat="1" ht="20" thickTop="1" x14ac:dyDescent="0.25">
      <c r="A99" s="163">
        <v>31</v>
      </c>
      <c r="B99" s="138"/>
      <c r="C99" s="91" t="s">
        <v>11</v>
      </c>
      <c r="D99" s="166"/>
      <c r="E99" s="166"/>
      <c r="F99" s="168"/>
      <c r="G99" s="170"/>
      <c r="H99" s="172"/>
      <c r="I99" s="172"/>
      <c r="J99" s="168"/>
      <c r="K99" s="168"/>
      <c r="L99" s="168"/>
      <c r="M99" s="168"/>
      <c r="N99" s="170"/>
      <c r="O99" s="172"/>
      <c r="P99" s="172"/>
      <c r="Q99" s="168"/>
      <c r="R99" s="168"/>
      <c r="S99" s="168"/>
      <c r="T99" s="174"/>
      <c r="U99" s="170"/>
      <c r="V99" s="172"/>
      <c r="W99" s="172"/>
      <c r="X99" s="168"/>
      <c r="Y99" s="168"/>
      <c r="Z99" s="170"/>
      <c r="AA99" s="170"/>
      <c r="AB99" s="168"/>
      <c r="AC99" s="172"/>
      <c r="AD99" s="172"/>
      <c r="AE99" s="172"/>
      <c r="AF99" s="172"/>
      <c r="AG99" s="168"/>
      <c r="AH99" s="176"/>
      <c r="AI99" s="159">
        <f t="shared" ref="AI99" si="73">SUM(D99:AH99)</f>
        <v>0</v>
      </c>
      <c r="AJ99" s="86"/>
      <c r="AK99" s="7"/>
      <c r="AL99" s="7"/>
      <c r="AM99" s="99">
        <f>SUMIF(D101:AH101, "CO", D99:AH99) + SUMIF(D101:AH101, "CO", D100:AH100)</f>
        <v>0</v>
      </c>
      <c r="AN99" s="59">
        <f ca="1">SUM(AI99:CA99)</f>
        <v>0</v>
      </c>
      <c r="AO99" s="5"/>
      <c r="AP99" s="73"/>
      <c r="AQ99" s="129"/>
      <c r="AR99" s="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CD99" s="83">
        <f t="shared" si="51"/>
        <v>0</v>
      </c>
      <c r="CE99" s="66">
        <f t="shared" si="52"/>
        <v>0</v>
      </c>
      <c r="CF99" s="83">
        <f t="shared" si="53"/>
        <v>0</v>
      </c>
      <c r="CG99" s="65">
        <f t="shared" si="54"/>
        <v>0</v>
      </c>
      <c r="CH99" s="83">
        <f t="shared" si="55"/>
        <v>0</v>
      </c>
      <c r="CI99" s="65">
        <f t="shared" si="56"/>
        <v>0</v>
      </c>
      <c r="CJ99" s="83">
        <f t="shared" si="57"/>
        <v>0</v>
      </c>
      <c r="CK99" s="65">
        <f t="shared" si="58"/>
        <v>0</v>
      </c>
      <c r="CL99" s="83">
        <f t="shared" si="59"/>
        <v>0</v>
      </c>
      <c r="CM99" s="83">
        <f t="shared" si="60"/>
        <v>0</v>
      </c>
      <c r="CN99" s="111">
        <f t="shared" si="61"/>
        <v>0</v>
      </c>
      <c r="CO99" s="111">
        <f t="shared" si="62"/>
        <v>0</v>
      </c>
      <c r="CP99" s="111">
        <f t="shared" si="63"/>
        <v>0</v>
      </c>
      <c r="CQ99" s="111">
        <f t="shared" si="64"/>
        <v>0</v>
      </c>
      <c r="CS99" s="83">
        <f t="shared" si="65"/>
        <v>0</v>
      </c>
      <c r="CT99" s="83">
        <f t="shared" si="66"/>
        <v>0</v>
      </c>
      <c r="CU99" s="83">
        <f t="shared" si="67"/>
        <v>0</v>
      </c>
      <c r="CV99" s="111">
        <v>0</v>
      </c>
      <c r="CW99" s="111">
        <v>0</v>
      </c>
      <c r="CX99" s="111">
        <v>0</v>
      </c>
      <c r="CY99" s="111">
        <v>0</v>
      </c>
    </row>
    <row r="100" spans="1:103" s="2" customFormat="1" ht="21" x14ac:dyDescent="0.25">
      <c r="A100" s="164"/>
      <c r="B100" s="139"/>
      <c r="C100" s="3" t="s">
        <v>12</v>
      </c>
      <c r="D100" s="167"/>
      <c r="E100" s="167"/>
      <c r="F100" s="169"/>
      <c r="G100" s="171"/>
      <c r="H100" s="173"/>
      <c r="I100" s="173"/>
      <c r="J100" s="169"/>
      <c r="K100" s="169"/>
      <c r="L100" s="169"/>
      <c r="M100" s="169"/>
      <c r="N100" s="171"/>
      <c r="O100" s="173"/>
      <c r="P100" s="173"/>
      <c r="Q100" s="169"/>
      <c r="R100" s="169"/>
      <c r="S100" s="169"/>
      <c r="T100" s="175"/>
      <c r="U100" s="171"/>
      <c r="V100" s="173"/>
      <c r="W100" s="173"/>
      <c r="X100" s="169"/>
      <c r="Y100" s="169"/>
      <c r="Z100" s="171"/>
      <c r="AA100" s="171"/>
      <c r="AB100" s="169"/>
      <c r="AC100" s="173"/>
      <c r="AD100" s="173"/>
      <c r="AE100" s="173"/>
      <c r="AF100" s="173"/>
      <c r="AG100" s="169"/>
      <c r="AH100" s="177"/>
      <c r="AI100" s="160"/>
      <c r="AJ100" s="11"/>
      <c r="AK100" s="7"/>
      <c r="AL100" s="7"/>
      <c r="AM100" s="11"/>
      <c r="AN100" s="59"/>
      <c r="AO100" s="5"/>
      <c r="AP100" s="78"/>
      <c r="AQ100" s="129"/>
      <c r="AR100" s="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CD100" s="83">
        <f t="shared" si="51"/>
        <v>0</v>
      </c>
      <c r="CE100" s="66">
        <f t="shared" si="52"/>
        <v>0</v>
      </c>
      <c r="CF100" s="83">
        <f t="shared" si="53"/>
        <v>0</v>
      </c>
      <c r="CG100" s="65">
        <f t="shared" si="54"/>
        <v>0</v>
      </c>
      <c r="CH100" s="83">
        <f t="shared" si="55"/>
        <v>0</v>
      </c>
      <c r="CI100" s="65">
        <f t="shared" si="56"/>
        <v>0</v>
      </c>
      <c r="CJ100" s="83">
        <f t="shared" si="57"/>
        <v>0</v>
      </c>
      <c r="CK100" s="65">
        <f t="shared" si="58"/>
        <v>0</v>
      </c>
      <c r="CL100" s="83">
        <f t="shared" si="59"/>
        <v>0</v>
      </c>
      <c r="CM100" s="83">
        <f t="shared" si="60"/>
        <v>0</v>
      </c>
      <c r="CN100" s="111">
        <f t="shared" si="61"/>
        <v>0</v>
      </c>
      <c r="CO100" s="111">
        <f t="shared" si="62"/>
        <v>0</v>
      </c>
      <c r="CP100" s="111">
        <f t="shared" si="63"/>
        <v>0</v>
      </c>
      <c r="CQ100" s="111">
        <f t="shared" si="64"/>
        <v>0</v>
      </c>
      <c r="CS100" s="83">
        <f t="shared" ca="1" si="65"/>
        <v>0</v>
      </c>
      <c r="CT100" s="83">
        <f t="shared" ca="1" si="66"/>
        <v>0</v>
      </c>
      <c r="CU100" s="83">
        <f t="shared" ca="1" si="67"/>
        <v>0</v>
      </c>
      <c r="CV100" s="111">
        <v>0</v>
      </c>
      <c r="CW100" s="111">
        <v>0</v>
      </c>
      <c r="CX100" s="111">
        <v>0</v>
      </c>
      <c r="CY100" s="111">
        <v>0</v>
      </c>
    </row>
    <row r="101" spans="1:103" s="2" customFormat="1" ht="22" thickBot="1" x14ac:dyDescent="0.3">
      <c r="A101" s="165"/>
      <c r="B101" s="140"/>
      <c r="C101" s="92" t="s">
        <v>4</v>
      </c>
      <c r="D101" s="88"/>
      <c r="E101" s="88"/>
      <c r="F101" s="88"/>
      <c r="G101" s="89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90"/>
      <c r="AI101" s="36"/>
      <c r="AJ101" s="34"/>
      <c r="AK101" s="7"/>
      <c r="AL101" s="7"/>
      <c r="AM101" s="34"/>
      <c r="AN101" s="59"/>
      <c r="AO101" s="5"/>
      <c r="AP101" s="78"/>
      <c r="AQ101" s="129"/>
      <c r="AR101" s="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CD101" s="83">
        <f t="shared" si="51"/>
        <v>0</v>
      </c>
      <c r="CE101" s="66">
        <f t="shared" si="52"/>
        <v>0</v>
      </c>
      <c r="CF101" s="83">
        <f t="shared" si="53"/>
        <v>0</v>
      </c>
      <c r="CG101" s="65">
        <f t="shared" si="54"/>
        <v>0</v>
      </c>
      <c r="CH101" s="83">
        <f t="shared" si="55"/>
        <v>0</v>
      </c>
      <c r="CI101" s="65">
        <f t="shared" si="56"/>
        <v>0</v>
      </c>
      <c r="CJ101" s="83">
        <f t="shared" si="57"/>
        <v>0</v>
      </c>
      <c r="CK101" s="65">
        <f t="shared" si="58"/>
        <v>0</v>
      </c>
      <c r="CL101" s="83">
        <f t="shared" si="59"/>
        <v>0</v>
      </c>
      <c r="CM101" s="83">
        <f t="shared" si="60"/>
        <v>0</v>
      </c>
      <c r="CN101" s="111">
        <f t="shared" si="61"/>
        <v>0</v>
      </c>
      <c r="CO101" s="111">
        <f t="shared" si="62"/>
        <v>0</v>
      </c>
      <c r="CP101" s="111">
        <f t="shared" si="63"/>
        <v>0</v>
      </c>
      <c r="CQ101" s="111">
        <f t="shared" si="64"/>
        <v>0</v>
      </c>
      <c r="CS101" s="83">
        <f t="shared" si="65"/>
        <v>0</v>
      </c>
      <c r="CT101" s="83">
        <f t="shared" si="66"/>
        <v>0</v>
      </c>
      <c r="CU101" s="83">
        <f t="shared" si="67"/>
        <v>0</v>
      </c>
      <c r="CV101" s="111">
        <v>0</v>
      </c>
      <c r="CW101" s="111">
        <v>0</v>
      </c>
      <c r="CX101" s="111">
        <v>0</v>
      </c>
      <c r="CY101" s="111">
        <v>0</v>
      </c>
    </row>
    <row r="102" spans="1:103" s="2" customFormat="1" ht="20" thickTop="1" x14ac:dyDescent="0.25">
      <c r="A102" s="144">
        <v>32</v>
      </c>
      <c r="B102" s="179"/>
      <c r="C102" s="93" t="s">
        <v>11</v>
      </c>
      <c r="D102" s="182"/>
      <c r="E102" s="182"/>
      <c r="F102" s="184"/>
      <c r="G102" s="186"/>
      <c r="H102" s="184"/>
      <c r="I102" s="184"/>
      <c r="J102" s="184"/>
      <c r="K102" s="184"/>
      <c r="L102" s="184"/>
      <c r="M102" s="184"/>
      <c r="N102" s="186"/>
      <c r="O102" s="184"/>
      <c r="P102" s="184"/>
      <c r="Q102" s="184"/>
      <c r="R102" s="184"/>
      <c r="S102" s="184"/>
      <c r="T102" s="186"/>
      <c r="U102" s="186"/>
      <c r="V102" s="184"/>
      <c r="W102" s="184"/>
      <c r="X102" s="184"/>
      <c r="Y102" s="184"/>
      <c r="Z102" s="186"/>
      <c r="AA102" s="186"/>
      <c r="AB102" s="184"/>
      <c r="AC102" s="184"/>
      <c r="AD102" s="184"/>
      <c r="AE102" s="184"/>
      <c r="AF102" s="184"/>
      <c r="AG102" s="184"/>
      <c r="AH102" s="190"/>
      <c r="AI102" s="159">
        <f t="shared" ref="AI102" si="74">SUM(D102:AH102)</f>
        <v>0</v>
      </c>
      <c r="AJ102" s="87"/>
      <c r="AK102" s="7"/>
      <c r="AL102" s="7"/>
      <c r="AM102" s="100">
        <f>SUMIF(D104:AH104, "CO", D102:AH102) + SUMIF(D104:AH104, "CO", D103:AH103)</f>
        <v>0</v>
      </c>
      <c r="AN102" s="59">
        <f ca="1">SUM(AI102:CA102)</f>
        <v>0</v>
      </c>
      <c r="AO102" s="5"/>
      <c r="AP102" s="73"/>
      <c r="AQ102" s="129"/>
      <c r="AR102" s="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CD102" s="83">
        <f t="shared" si="51"/>
        <v>0</v>
      </c>
      <c r="CE102" s="66">
        <f t="shared" si="52"/>
        <v>0</v>
      </c>
      <c r="CF102" s="83">
        <f t="shared" si="53"/>
        <v>0</v>
      </c>
      <c r="CG102" s="65">
        <f t="shared" si="54"/>
        <v>0</v>
      </c>
      <c r="CH102" s="83">
        <f t="shared" si="55"/>
        <v>0</v>
      </c>
      <c r="CI102" s="65">
        <f t="shared" si="56"/>
        <v>0</v>
      </c>
      <c r="CJ102" s="83">
        <f t="shared" si="57"/>
        <v>0</v>
      </c>
      <c r="CK102" s="65">
        <f t="shared" si="58"/>
        <v>0</v>
      </c>
      <c r="CL102" s="83">
        <f t="shared" si="59"/>
        <v>0</v>
      </c>
      <c r="CM102" s="83">
        <f t="shared" si="60"/>
        <v>0</v>
      </c>
      <c r="CN102" s="111">
        <f t="shared" si="61"/>
        <v>0</v>
      </c>
      <c r="CO102" s="111">
        <f t="shared" si="62"/>
        <v>0</v>
      </c>
      <c r="CP102" s="111">
        <f t="shared" si="63"/>
        <v>0</v>
      </c>
      <c r="CQ102" s="111">
        <f t="shared" si="64"/>
        <v>0</v>
      </c>
      <c r="CS102" s="83">
        <f t="shared" si="65"/>
        <v>0</v>
      </c>
      <c r="CT102" s="83">
        <f t="shared" si="66"/>
        <v>0</v>
      </c>
      <c r="CU102" s="83">
        <f t="shared" si="67"/>
        <v>0</v>
      </c>
      <c r="CV102" s="111">
        <v>0</v>
      </c>
      <c r="CW102" s="111">
        <v>0</v>
      </c>
      <c r="CX102" s="111">
        <v>0</v>
      </c>
      <c r="CY102" s="111">
        <v>0</v>
      </c>
    </row>
    <row r="103" spans="1:103" s="2" customFormat="1" ht="21" x14ac:dyDescent="0.25">
      <c r="A103" s="142"/>
      <c r="B103" s="180"/>
      <c r="C103" s="94" t="s">
        <v>12</v>
      </c>
      <c r="D103" s="183"/>
      <c r="E103" s="183"/>
      <c r="F103" s="185"/>
      <c r="G103" s="187"/>
      <c r="H103" s="185"/>
      <c r="I103" s="185"/>
      <c r="J103" s="185"/>
      <c r="K103" s="185"/>
      <c r="L103" s="185"/>
      <c r="M103" s="185"/>
      <c r="N103" s="187"/>
      <c r="O103" s="185"/>
      <c r="P103" s="185"/>
      <c r="Q103" s="185"/>
      <c r="R103" s="185"/>
      <c r="S103" s="185"/>
      <c r="T103" s="187"/>
      <c r="U103" s="187"/>
      <c r="V103" s="185"/>
      <c r="W103" s="185"/>
      <c r="X103" s="185"/>
      <c r="Y103" s="185"/>
      <c r="Z103" s="187"/>
      <c r="AA103" s="187"/>
      <c r="AB103" s="185"/>
      <c r="AC103" s="185"/>
      <c r="AD103" s="185"/>
      <c r="AE103" s="185"/>
      <c r="AF103" s="185"/>
      <c r="AG103" s="185"/>
      <c r="AH103" s="191"/>
      <c r="AI103" s="160"/>
      <c r="AJ103" s="11"/>
      <c r="AK103" s="7"/>
      <c r="AL103" s="7"/>
      <c r="AM103" s="11"/>
      <c r="AN103" s="59"/>
      <c r="AO103" s="5"/>
      <c r="AP103" s="78"/>
      <c r="AQ103" s="129"/>
      <c r="AR103" s="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CD103" s="83">
        <f t="shared" si="51"/>
        <v>0</v>
      </c>
      <c r="CE103" s="66">
        <f t="shared" si="52"/>
        <v>0</v>
      </c>
      <c r="CF103" s="83">
        <f t="shared" si="53"/>
        <v>0</v>
      </c>
      <c r="CG103" s="65">
        <f t="shared" si="54"/>
        <v>0</v>
      </c>
      <c r="CH103" s="83">
        <f t="shared" si="55"/>
        <v>0</v>
      </c>
      <c r="CI103" s="65">
        <f t="shared" si="56"/>
        <v>0</v>
      </c>
      <c r="CJ103" s="83">
        <f t="shared" si="57"/>
        <v>0</v>
      </c>
      <c r="CK103" s="65">
        <f t="shared" si="58"/>
        <v>0</v>
      </c>
      <c r="CL103" s="83">
        <f t="shared" si="59"/>
        <v>0</v>
      </c>
      <c r="CM103" s="83">
        <f t="shared" si="60"/>
        <v>0</v>
      </c>
      <c r="CN103" s="111">
        <f t="shared" si="61"/>
        <v>0</v>
      </c>
      <c r="CO103" s="111">
        <f t="shared" si="62"/>
        <v>0</v>
      </c>
      <c r="CP103" s="111">
        <f t="shared" si="63"/>
        <v>0</v>
      </c>
      <c r="CQ103" s="111">
        <f t="shared" si="64"/>
        <v>0</v>
      </c>
      <c r="CS103" s="83">
        <f t="shared" ca="1" si="65"/>
        <v>0</v>
      </c>
      <c r="CT103" s="83">
        <f t="shared" ca="1" si="66"/>
        <v>0</v>
      </c>
      <c r="CU103" s="83">
        <f t="shared" ca="1" si="67"/>
        <v>0</v>
      </c>
      <c r="CV103" s="111">
        <v>0</v>
      </c>
      <c r="CW103" s="111">
        <v>0</v>
      </c>
      <c r="CX103" s="111">
        <v>0</v>
      </c>
      <c r="CY103" s="111">
        <v>0</v>
      </c>
    </row>
    <row r="104" spans="1:103" s="2" customFormat="1" ht="22" thickBot="1" x14ac:dyDescent="0.3">
      <c r="A104" s="178"/>
      <c r="B104" s="181"/>
      <c r="C104" s="92" t="s">
        <v>4</v>
      </c>
      <c r="D104" s="95"/>
      <c r="E104" s="95"/>
      <c r="F104" s="95"/>
      <c r="G104" s="96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7"/>
      <c r="AI104" s="36"/>
      <c r="AJ104" s="34"/>
      <c r="AK104" s="7"/>
      <c r="AL104" s="7"/>
      <c r="AM104" s="34"/>
      <c r="AN104" s="59"/>
      <c r="AO104" s="5"/>
      <c r="AP104" s="78"/>
      <c r="AQ104" s="129"/>
      <c r="AR104" s="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CD104" s="83">
        <f t="shared" si="51"/>
        <v>0</v>
      </c>
      <c r="CE104" s="66">
        <f t="shared" si="52"/>
        <v>0</v>
      </c>
      <c r="CF104" s="83">
        <f t="shared" si="53"/>
        <v>0</v>
      </c>
      <c r="CG104" s="65">
        <f t="shared" si="54"/>
        <v>0</v>
      </c>
      <c r="CH104" s="83">
        <f t="shared" si="55"/>
        <v>0</v>
      </c>
      <c r="CI104" s="65">
        <f t="shared" si="56"/>
        <v>0</v>
      </c>
      <c r="CJ104" s="83">
        <f t="shared" si="57"/>
        <v>0</v>
      </c>
      <c r="CK104" s="65">
        <f t="shared" si="58"/>
        <v>0</v>
      </c>
      <c r="CL104" s="83">
        <f t="shared" si="59"/>
        <v>0</v>
      </c>
      <c r="CM104" s="83">
        <f t="shared" si="60"/>
        <v>0</v>
      </c>
      <c r="CN104" s="111">
        <f t="shared" si="61"/>
        <v>0</v>
      </c>
      <c r="CO104" s="111">
        <f t="shared" si="62"/>
        <v>0</v>
      </c>
      <c r="CP104" s="111">
        <f t="shared" si="63"/>
        <v>0</v>
      </c>
      <c r="CQ104" s="111">
        <f t="shared" si="64"/>
        <v>0</v>
      </c>
      <c r="CS104" s="83">
        <f t="shared" si="65"/>
        <v>0</v>
      </c>
      <c r="CT104" s="83">
        <f t="shared" si="66"/>
        <v>0</v>
      </c>
      <c r="CU104" s="83">
        <f t="shared" si="67"/>
        <v>0</v>
      </c>
      <c r="CV104" s="111">
        <v>0</v>
      </c>
      <c r="CW104" s="111">
        <v>0</v>
      </c>
      <c r="CX104" s="111">
        <v>0</v>
      </c>
      <c r="CY104" s="111">
        <v>0</v>
      </c>
    </row>
    <row r="105" spans="1:103" s="2" customFormat="1" ht="20" thickTop="1" x14ac:dyDescent="0.25">
      <c r="A105" s="188">
        <v>33</v>
      </c>
      <c r="B105" s="189"/>
      <c r="C105" s="98" t="s">
        <v>11</v>
      </c>
      <c r="D105" s="182"/>
      <c r="E105" s="182"/>
      <c r="F105" s="184"/>
      <c r="G105" s="186"/>
      <c r="H105" s="184"/>
      <c r="I105" s="184"/>
      <c r="J105" s="184"/>
      <c r="K105" s="184"/>
      <c r="L105" s="184"/>
      <c r="M105" s="184"/>
      <c r="N105" s="186"/>
      <c r="O105" s="184"/>
      <c r="P105" s="184"/>
      <c r="Q105" s="184"/>
      <c r="R105" s="184"/>
      <c r="S105" s="184"/>
      <c r="T105" s="186"/>
      <c r="U105" s="186"/>
      <c r="V105" s="184"/>
      <c r="W105" s="184"/>
      <c r="X105" s="184"/>
      <c r="Y105" s="184"/>
      <c r="Z105" s="186"/>
      <c r="AA105" s="186"/>
      <c r="AB105" s="184"/>
      <c r="AC105" s="184"/>
      <c r="AD105" s="184"/>
      <c r="AE105" s="184"/>
      <c r="AF105" s="184"/>
      <c r="AG105" s="184"/>
      <c r="AH105" s="190"/>
      <c r="AI105" s="159">
        <f t="shared" ref="AI105" si="75">SUM(D105:AH105)</f>
        <v>0</v>
      </c>
      <c r="AJ105" s="86"/>
      <c r="AK105" s="7"/>
      <c r="AL105" s="7"/>
      <c r="AM105" s="99">
        <f>SUMIF(D107:AH107, "CO", D105:AH105) + SUMIF(D107:AH107, "CO", D106:AH106)</f>
        <v>0</v>
      </c>
      <c r="AN105" s="59">
        <f ca="1">SUM(AI105:CA105)</f>
        <v>0</v>
      </c>
      <c r="AO105" s="5"/>
      <c r="AP105" s="73"/>
      <c r="AQ105" s="129"/>
      <c r="AR105" s="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CD105" s="83">
        <f t="shared" ref="CD105:CD110" si="76">SUMIF(D107:AH107,"T",D105:AH105)</f>
        <v>0</v>
      </c>
      <c r="CE105" s="66">
        <f t="shared" ref="CE105:CE110" si="77">AP105*CD105</f>
        <v>0</v>
      </c>
      <c r="CF105" s="83">
        <f t="shared" ref="CF105:CF110" si="78">SUMIF(D107:AH107,"VS",D105:AH105)</f>
        <v>0</v>
      </c>
      <c r="CG105" s="65">
        <f t="shared" ref="CG105:CG110" si="79">AP105*CF105</f>
        <v>0</v>
      </c>
      <c r="CH105" s="83">
        <f t="shared" ref="CH105:CH110" si="80">SUMIF(D107:AH107,"Sb",D105:AH105)</f>
        <v>0</v>
      </c>
      <c r="CI105" s="65">
        <f t="shared" ref="CI105:CI110" si="81">AP105*CH105</f>
        <v>0</v>
      </c>
      <c r="CJ105" s="83">
        <f t="shared" ref="CJ105:CJ110" si="82">SUMIF(D107:AH107,"VB",D105:AH105)</f>
        <v>0</v>
      </c>
      <c r="CK105" s="65">
        <f t="shared" ref="CK105:CK110" si="83">AP105*CJ105</f>
        <v>0</v>
      </c>
      <c r="CL105" s="83">
        <f t="shared" ref="CL105:CL110" si="84">SUMIF(D107:AH107,"VCC",D105:AH105)</f>
        <v>0</v>
      </c>
      <c r="CM105" s="83">
        <f t="shared" ref="CM105:CM110" si="85">AP105*CL105</f>
        <v>0</v>
      </c>
      <c r="CN105" s="111">
        <f t="shared" ref="CN105:CN110" si="86">SUMIF(D107:AH107,"VB3",D105:AH105)</f>
        <v>0</v>
      </c>
      <c r="CO105" s="111">
        <f t="shared" ref="CO105:CO110" si="87">AP105*CN105</f>
        <v>0</v>
      </c>
      <c r="CP105" s="111">
        <f t="shared" ref="CP105:CP110" si="88">SUMIF(D107:AH107,"VB14",D105:AH105)</f>
        <v>0</v>
      </c>
      <c r="CQ105" s="111">
        <f t="shared" ref="CQ105:CQ110" si="89">AP105*CP105</f>
        <v>0</v>
      </c>
      <c r="CS105" s="83">
        <f t="shared" si="65"/>
        <v>0</v>
      </c>
      <c r="CT105" s="83">
        <f t="shared" si="66"/>
        <v>0</v>
      </c>
      <c r="CU105" s="83">
        <f t="shared" si="67"/>
        <v>0</v>
      </c>
      <c r="CV105" s="111">
        <v>0</v>
      </c>
      <c r="CW105" s="111">
        <v>0</v>
      </c>
      <c r="CX105" s="111">
        <v>0</v>
      </c>
      <c r="CY105" s="111">
        <v>0</v>
      </c>
    </row>
    <row r="106" spans="1:103" s="2" customFormat="1" ht="21" x14ac:dyDescent="0.25">
      <c r="A106" s="142"/>
      <c r="B106" s="180"/>
      <c r="C106" s="94" t="s">
        <v>12</v>
      </c>
      <c r="D106" s="183"/>
      <c r="E106" s="183"/>
      <c r="F106" s="185"/>
      <c r="G106" s="187"/>
      <c r="H106" s="185"/>
      <c r="I106" s="185"/>
      <c r="J106" s="185"/>
      <c r="K106" s="185"/>
      <c r="L106" s="185"/>
      <c r="M106" s="185"/>
      <c r="N106" s="187"/>
      <c r="O106" s="185"/>
      <c r="P106" s="185"/>
      <c r="Q106" s="185"/>
      <c r="R106" s="185"/>
      <c r="S106" s="185"/>
      <c r="T106" s="187"/>
      <c r="U106" s="187"/>
      <c r="V106" s="185"/>
      <c r="W106" s="185"/>
      <c r="X106" s="185"/>
      <c r="Y106" s="185"/>
      <c r="Z106" s="187"/>
      <c r="AA106" s="187"/>
      <c r="AB106" s="185"/>
      <c r="AC106" s="185"/>
      <c r="AD106" s="185"/>
      <c r="AE106" s="185"/>
      <c r="AF106" s="185"/>
      <c r="AG106" s="185"/>
      <c r="AH106" s="191"/>
      <c r="AI106" s="160"/>
      <c r="AJ106" s="11"/>
      <c r="AK106" s="7"/>
      <c r="AL106" s="7"/>
      <c r="AM106" s="11"/>
      <c r="AN106" s="59"/>
      <c r="AO106" s="5"/>
      <c r="AP106" s="78"/>
      <c r="AQ106" s="129"/>
      <c r="AR106" s="5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CD106" s="83">
        <f t="shared" si="76"/>
        <v>0</v>
      </c>
      <c r="CE106" s="66">
        <f t="shared" si="77"/>
        <v>0</v>
      </c>
      <c r="CF106" s="83">
        <f t="shared" si="78"/>
        <v>0</v>
      </c>
      <c r="CG106" s="65">
        <f t="shared" si="79"/>
        <v>0</v>
      </c>
      <c r="CH106" s="83">
        <f t="shared" si="80"/>
        <v>0</v>
      </c>
      <c r="CI106" s="65">
        <f t="shared" si="81"/>
        <v>0</v>
      </c>
      <c r="CJ106" s="83">
        <f t="shared" si="82"/>
        <v>0</v>
      </c>
      <c r="CK106" s="65">
        <f t="shared" si="83"/>
        <v>0</v>
      </c>
      <c r="CL106" s="83">
        <f t="shared" si="84"/>
        <v>0</v>
      </c>
      <c r="CM106" s="83">
        <f t="shared" si="85"/>
        <v>0</v>
      </c>
      <c r="CN106" s="111">
        <f t="shared" si="86"/>
        <v>0</v>
      </c>
      <c r="CO106" s="111">
        <f t="shared" si="87"/>
        <v>0</v>
      </c>
      <c r="CP106" s="111">
        <f t="shared" si="88"/>
        <v>0</v>
      </c>
      <c r="CQ106" s="111">
        <f t="shared" si="89"/>
        <v>0</v>
      </c>
      <c r="CS106" s="83">
        <f t="shared" ref="CS106:CS110" ca="1" si="90">SUMIF(K108:AO108, "T", K106:AO106) + SUMIF(K108:AO108, "T", K107:AO107)</f>
        <v>0</v>
      </c>
      <c r="CT106" s="83">
        <f t="shared" ref="CT106:CT110" ca="1" si="91">SUMIF(L108:AP108, "T", L106:AP106) + SUMIF(L108:AP108, "T", L107:AP107)</f>
        <v>0</v>
      </c>
      <c r="CU106" s="83">
        <f t="shared" ref="CU106:CU110" ca="1" si="92">SUMIF(M108:AQ108, "T", M106:AQ106) + SUMIF(M108:AQ108, "T", M107:AQ107)</f>
        <v>0</v>
      </c>
      <c r="CV106" s="111">
        <v>0</v>
      </c>
      <c r="CW106" s="111">
        <v>0</v>
      </c>
      <c r="CX106" s="111">
        <v>0</v>
      </c>
      <c r="CY106" s="111">
        <v>0</v>
      </c>
    </row>
    <row r="107" spans="1:103" s="2" customFormat="1" ht="22" thickBot="1" x14ac:dyDescent="0.3">
      <c r="A107" s="178"/>
      <c r="B107" s="181"/>
      <c r="C107" s="92" t="s">
        <v>4</v>
      </c>
      <c r="D107" s="95"/>
      <c r="E107" s="95"/>
      <c r="F107" s="95"/>
      <c r="G107" s="96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7"/>
      <c r="AI107" s="36"/>
      <c r="AJ107" s="34"/>
      <c r="AK107" s="7"/>
      <c r="AL107" s="7"/>
      <c r="AM107" s="34"/>
      <c r="AN107" s="59"/>
      <c r="AO107" s="5"/>
      <c r="AP107" s="78"/>
      <c r="AQ107" s="129"/>
      <c r="AR107" s="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CD107" s="83">
        <f t="shared" si="76"/>
        <v>0</v>
      </c>
      <c r="CE107" s="66">
        <f t="shared" si="77"/>
        <v>0</v>
      </c>
      <c r="CF107" s="83">
        <f t="shared" si="78"/>
        <v>0</v>
      </c>
      <c r="CG107" s="65">
        <f t="shared" si="79"/>
        <v>0</v>
      </c>
      <c r="CH107" s="83">
        <f t="shared" si="80"/>
        <v>0</v>
      </c>
      <c r="CI107" s="65">
        <f t="shared" si="81"/>
        <v>0</v>
      </c>
      <c r="CJ107" s="83">
        <f t="shared" si="82"/>
        <v>0</v>
      </c>
      <c r="CK107" s="65">
        <f t="shared" si="83"/>
        <v>0</v>
      </c>
      <c r="CL107" s="83">
        <f t="shared" si="84"/>
        <v>0</v>
      </c>
      <c r="CM107" s="83">
        <f t="shared" si="85"/>
        <v>0</v>
      </c>
      <c r="CN107" s="111">
        <f t="shared" si="86"/>
        <v>0</v>
      </c>
      <c r="CO107" s="111">
        <f t="shared" si="87"/>
        <v>0</v>
      </c>
      <c r="CP107" s="111">
        <f t="shared" si="88"/>
        <v>0</v>
      </c>
      <c r="CQ107" s="111">
        <f t="shared" si="89"/>
        <v>0</v>
      </c>
      <c r="CS107" s="83">
        <f t="shared" si="90"/>
        <v>0</v>
      </c>
      <c r="CT107" s="83">
        <f t="shared" si="91"/>
        <v>0</v>
      </c>
      <c r="CU107" s="83">
        <f t="shared" si="92"/>
        <v>0</v>
      </c>
      <c r="CV107" s="111">
        <v>0</v>
      </c>
      <c r="CW107" s="111">
        <v>0</v>
      </c>
      <c r="CX107" s="111">
        <v>0</v>
      </c>
      <c r="CY107" s="111">
        <v>0</v>
      </c>
    </row>
    <row r="108" spans="1:103" s="2" customFormat="1" ht="20" thickTop="1" x14ac:dyDescent="0.25">
      <c r="A108" s="188">
        <v>34</v>
      </c>
      <c r="B108" s="189"/>
      <c r="C108" s="98" t="s">
        <v>11</v>
      </c>
      <c r="D108" s="182"/>
      <c r="E108" s="182"/>
      <c r="F108" s="184"/>
      <c r="G108" s="186"/>
      <c r="H108" s="184"/>
      <c r="I108" s="184"/>
      <c r="J108" s="184"/>
      <c r="K108" s="184"/>
      <c r="L108" s="184"/>
      <c r="M108" s="184"/>
      <c r="N108" s="186"/>
      <c r="O108" s="184"/>
      <c r="P108" s="184"/>
      <c r="Q108" s="184"/>
      <c r="R108" s="184"/>
      <c r="S108" s="184"/>
      <c r="T108" s="186"/>
      <c r="U108" s="186"/>
      <c r="V108" s="184"/>
      <c r="W108" s="184"/>
      <c r="X108" s="184"/>
      <c r="Y108" s="184"/>
      <c r="Z108" s="186"/>
      <c r="AA108" s="186"/>
      <c r="AB108" s="184"/>
      <c r="AC108" s="184"/>
      <c r="AD108" s="184"/>
      <c r="AE108" s="184"/>
      <c r="AF108" s="184"/>
      <c r="AG108" s="184"/>
      <c r="AH108" s="190"/>
      <c r="AI108" s="159">
        <f t="shared" ref="AI108" si="93">SUM(D108:AH108)</f>
        <v>0</v>
      </c>
      <c r="AJ108" s="87"/>
      <c r="AK108" s="7"/>
      <c r="AL108" s="7"/>
      <c r="AM108" s="100">
        <f>SUMIF(D110:AH110, "CO", D108:AH108) + SUMIF(D110:AH110, "CO", D109:AH109)</f>
        <v>0</v>
      </c>
      <c r="AN108" s="59">
        <f ca="1">SUM(AI108:CA108)</f>
        <v>0</v>
      </c>
      <c r="AO108" s="5"/>
      <c r="AP108" s="73"/>
      <c r="AQ108" s="129"/>
      <c r="AR108" s="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CD108" s="83">
        <f t="shared" si="76"/>
        <v>0</v>
      </c>
      <c r="CE108" s="66">
        <f t="shared" si="77"/>
        <v>0</v>
      </c>
      <c r="CF108" s="83">
        <f t="shared" si="78"/>
        <v>0</v>
      </c>
      <c r="CG108" s="65">
        <f t="shared" si="79"/>
        <v>0</v>
      </c>
      <c r="CH108" s="83">
        <f t="shared" si="80"/>
        <v>0</v>
      </c>
      <c r="CI108" s="65">
        <f t="shared" si="81"/>
        <v>0</v>
      </c>
      <c r="CJ108" s="83">
        <f t="shared" si="82"/>
        <v>0</v>
      </c>
      <c r="CK108" s="65">
        <f t="shared" si="83"/>
        <v>0</v>
      </c>
      <c r="CL108" s="83">
        <f t="shared" si="84"/>
        <v>0</v>
      </c>
      <c r="CM108" s="83">
        <f t="shared" si="85"/>
        <v>0</v>
      </c>
      <c r="CN108" s="111">
        <f t="shared" si="86"/>
        <v>0</v>
      </c>
      <c r="CO108" s="111">
        <f t="shared" si="87"/>
        <v>0</v>
      </c>
      <c r="CP108" s="111">
        <f t="shared" si="88"/>
        <v>0</v>
      </c>
      <c r="CQ108" s="111">
        <f t="shared" si="89"/>
        <v>0</v>
      </c>
      <c r="CS108" s="83">
        <f t="shared" si="90"/>
        <v>0</v>
      </c>
      <c r="CT108" s="83">
        <f t="shared" si="91"/>
        <v>0</v>
      </c>
      <c r="CU108" s="83">
        <f t="shared" si="92"/>
        <v>0</v>
      </c>
      <c r="CV108" s="111">
        <v>0</v>
      </c>
      <c r="CW108" s="111">
        <v>0</v>
      </c>
      <c r="CX108" s="111">
        <v>0</v>
      </c>
      <c r="CY108" s="111">
        <v>0</v>
      </c>
    </row>
    <row r="109" spans="1:103" s="2" customFormat="1" ht="21" x14ac:dyDescent="0.25">
      <c r="A109" s="142"/>
      <c r="B109" s="180"/>
      <c r="C109" s="94" t="s">
        <v>12</v>
      </c>
      <c r="D109" s="183"/>
      <c r="E109" s="183"/>
      <c r="F109" s="185"/>
      <c r="G109" s="187"/>
      <c r="H109" s="185"/>
      <c r="I109" s="185"/>
      <c r="J109" s="185"/>
      <c r="K109" s="185"/>
      <c r="L109" s="185"/>
      <c r="M109" s="185"/>
      <c r="N109" s="187"/>
      <c r="O109" s="185"/>
      <c r="P109" s="185"/>
      <c r="Q109" s="185"/>
      <c r="R109" s="185"/>
      <c r="S109" s="185"/>
      <c r="T109" s="187"/>
      <c r="U109" s="187"/>
      <c r="V109" s="185"/>
      <c r="W109" s="185"/>
      <c r="X109" s="185"/>
      <c r="Y109" s="185"/>
      <c r="Z109" s="187"/>
      <c r="AA109" s="187"/>
      <c r="AB109" s="185"/>
      <c r="AC109" s="185"/>
      <c r="AD109" s="185"/>
      <c r="AE109" s="185"/>
      <c r="AF109" s="185"/>
      <c r="AG109" s="185"/>
      <c r="AH109" s="191"/>
      <c r="AI109" s="160"/>
      <c r="AJ109" s="11"/>
      <c r="AK109" s="7"/>
      <c r="AL109" s="7"/>
      <c r="AM109" s="11"/>
      <c r="AN109" s="59"/>
      <c r="AO109" s="5"/>
      <c r="AP109" s="78"/>
      <c r="AQ109" s="129"/>
      <c r="AR109" s="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CD109" s="83">
        <f t="shared" si="76"/>
        <v>0</v>
      </c>
      <c r="CE109" s="66">
        <f t="shared" si="77"/>
        <v>0</v>
      </c>
      <c r="CF109" s="83">
        <f t="shared" si="78"/>
        <v>0</v>
      </c>
      <c r="CG109" s="65">
        <f t="shared" si="79"/>
        <v>0</v>
      </c>
      <c r="CH109" s="83">
        <f t="shared" si="80"/>
        <v>0</v>
      </c>
      <c r="CI109" s="65">
        <f t="shared" si="81"/>
        <v>0</v>
      </c>
      <c r="CJ109" s="83">
        <f t="shared" si="82"/>
        <v>0</v>
      </c>
      <c r="CK109" s="65">
        <f t="shared" si="83"/>
        <v>0</v>
      </c>
      <c r="CL109" s="83">
        <f t="shared" si="84"/>
        <v>0</v>
      </c>
      <c r="CM109" s="83">
        <f t="shared" si="85"/>
        <v>0</v>
      </c>
      <c r="CN109" s="111">
        <f t="shared" si="86"/>
        <v>0</v>
      </c>
      <c r="CO109" s="111">
        <f t="shared" si="87"/>
        <v>0</v>
      </c>
      <c r="CP109" s="111">
        <f t="shared" si="88"/>
        <v>0</v>
      </c>
      <c r="CQ109" s="111">
        <f t="shared" si="89"/>
        <v>0</v>
      </c>
      <c r="CS109" s="83">
        <f t="shared" ca="1" si="90"/>
        <v>0</v>
      </c>
      <c r="CT109" s="83">
        <f t="shared" ca="1" si="91"/>
        <v>0</v>
      </c>
      <c r="CU109" s="83">
        <f t="shared" ca="1" si="92"/>
        <v>0</v>
      </c>
      <c r="CV109" s="111">
        <v>0</v>
      </c>
      <c r="CW109" s="111">
        <v>0</v>
      </c>
      <c r="CX109" s="111">
        <v>0</v>
      </c>
      <c r="CY109" s="111">
        <v>0</v>
      </c>
    </row>
    <row r="110" spans="1:103" s="2" customFormat="1" ht="22" thickBot="1" x14ac:dyDescent="0.3">
      <c r="A110" s="178"/>
      <c r="B110" s="181"/>
      <c r="C110" s="92" t="s">
        <v>4</v>
      </c>
      <c r="D110" s="95"/>
      <c r="E110" s="95"/>
      <c r="F110" s="95"/>
      <c r="G110" s="96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7"/>
      <c r="AI110" s="36"/>
      <c r="AJ110" s="34"/>
      <c r="AK110" s="7"/>
      <c r="AL110" s="7"/>
      <c r="AM110" s="34"/>
      <c r="AN110" s="59"/>
      <c r="AO110" s="5"/>
      <c r="AP110" s="78"/>
      <c r="AQ110" s="129"/>
      <c r="AR110" s="5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115"/>
      <c r="CD110" s="83">
        <f t="shared" si="76"/>
        <v>0</v>
      </c>
      <c r="CE110" s="66">
        <f t="shared" si="77"/>
        <v>0</v>
      </c>
      <c r="CF110" s="83">
        <f t="shared" si="78"/>
        <v>0</v>
      </c>
      <c r="CG110" s="65">
        <f t="shared" si="79"/>
        <v>0</v>
      </c>
      <c r="CH110" s="83">
        <f t="shared" si="80"/>
        <v>0</v>
      </c>
      <c r="CI110" s="65">
        <f t="shared" si="81"/>
        <v>0</v>
      </c>
      <c r="CJ110" s="83">
        <f t="shared" si="82"/>
        <v>0</v>
      </c>
      <c r="CK110" s="65">
        <f t="shared" si="83"/>
        <v>0</v>
      </c>
      <c r="CL110" s="83">
        <f t="shared" si="84"/>
        <v>0</v>
      </c>
      <c r="CM110" s="83">
        <f t="shared" si="85"/>
        <v>0</v>
      </c>
      <c r="CN110" s="111">
        <f t="shared" si="86"/>
        <v>0</v>
      </c>
      <c r="CO110" s="111">
        <f t="shared" si="87"/>
        <v>0</v>
      </c>
      <c r="CP110" s="111">
        <f t="shared" si="88"/>
        <v>0</v>
      </c>
      <c r="CQ110" s="111">
        <f t="shared" si="89"/>
        <v>0</v>
      </c>
      <c r="CS110" s="83">
        <f t="shared" si="90"/>
        <v>0</v>
      </c>
      <c r="CT110" s="83">
        <f t="shared" si="91"/>
        <v>0</v>
      </c>
      <c r="CU110" s="83">
        <f t="shared" si="92"/>
        <v>0</v>
      </c>
      <c r="CV110" s="111">
        <v>0</v>
      </c>
      <c r="CW110" s="111">
        <v>0</v>
      </c>
      <c r="CX110" s="111">
        <v>0</v>
      </c>
      <c r="CY110" s="111">
        <v>0</v>
      </c>
    </row>
    <row r="111" spans="1:103" s="2" customFormat="1" ht="21" thickTop="1" thickBot="1" x14ac:dyDescent="0.3">
      <c r="A111" s="144">
        <v>35</v>
      </c>
      <c r="B111" s="138"/>
      <c r="C111" s="91" t="s">
        <v>11</v>
      </c>
      <c r="D111" s="166"/>
      <c r="E111" s="166"/>
      <c r="F111" s="168"/>
      <c r="G111" s="170"/>
      <c r="H111" s="172"/>
      <c r="I111" s="172"/>
      <c r="J111" s="168"/>
      <c r="K111" s="168"/>
      <c r="L111" s="168"/>
      <c r="M111" s="168"/>
      <c r="N111" s="170"/>
      <c r="O111" s="172"/>
      <c r="P111" s="172"/>
      <c r="Q111" s="168"/>
      <c r="R111" s="168"/>
      <c r="S111" s="168"/>
      <c r="T111" s="174"/>
      <c r="U111" s="170"/>
      <c r="V111" s="172"/>
      <c r="W111" s="172"/>
      <c r="X111" s="168"/>
      <c r="Y111" s="168"/>
      <c r="Z111" s="170"/>
      <c r="AA111" s="170"/>
      <c r="AB111" s="168"/>
      <c r="AC111" s="172"/>
      <c r="AD111" s="172"/>
      <c r="AE111" s="172"/>
      <c r="AF111" s="172"/>
      <c r="AG111" s="168"/>
      <c r="AH111" s="176"/>
      <c r="AI111" s="159">
        <f t="shared" ref="AI111" si="94">SUM(D111:AH111)</f>
        <v>0</v>
      </c>
      <c r="AJ111" s="86"/>
      <c r="AK111" s="31"/>
      <c r="AL111" s="31"/>
      <c r="AM111" s="99">
        <f>SUMIF(D113:AH113, "CO", D111:AH111) + SUMIF(D113:AH113, "CO", D112:AH112)</f>
        <v>0</v>
      </c>
      <c r="AN111" s="51">
        <f ca="1">SUM(AI111:CA111)</f>
        <v>0</v>
      </c>
      <c r="AO111" s="103"/>
      <c r="AP111" s="68"/>
      <c r="AQ111" s="127"/>
      <c r="AR111" s="40"/>
      <c r="AS111" s="115"/>
      <c r="AT111" s="105"/>
      <c r="AU111" s="106"/>
      <c r="AV111" s="105"/>
      <c r="AW111" s="106"/>
      <c r="AX111" s="114"/>
      <c r="AY111" s="115"/>
      <c r="AZ111" s="105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</row>
    <row r="112" spans="1:103" s="2" customFormat="1" ht="20" thickBot="1" x14ac:dyDescent="0.3">
      <c r="A112" s="142"/>
      <c r="B112" s="139"/>
      <c r="C112" s="3" t="s">
        <v>12</v>
      </c>
      <c r="D112" s="167"/>
      <c r="E112" s="167"/>
      <c r="F112" s="169"/>
      <c r="G112" s="171"/>
      <c r="H112" s="173"/>
      <c r="I112" s="173"/>
      <c r="J112" s="169"/>
      <c r="K112" s="169"/>
      <c r="L112" s="169"/>
      <c r="M112" s="169"/>
      <c r="N112" s="171"/>
      <c r="O112" s="173"/>
      <c r="P112" s="173"/>
      <c r="Q112" s="169"/>
      <c r="R112" s="169"/>
      <c r="S112" s="169"/>
      <c r="T112" s="175"/>
      <c r="U112" s="171"/>
      <c r="V112" s="173"/>
      <c r="W112" s="173"/>
      <c r="X112" s="169"/>
      <c r="Y112" s="169"/>
      <c r="Z112" s="171"/>
      <c r="AA112" s="171"/>
      <c r="AB112" s="169"/>
      <c r="AC112" s="173"/>
      <c r="AD112" s="173"/>
      <c r="AE112" s="173"/>
      <c r="AF112" s="173"/>
      <c r="AG112" s="169"/>
      <c r="AH112" s="177"/>
      <c r="AI112" s="160"/>
      <c r="AJ112" s="11"/>
      <c r="AK112" s="11"/>
      <c r="AL112" s="11"/>
      <c r="AM112" s="11"/>
      <c r="AN112" s="52"/>
      <c r="AO112" s="24"/>
      <c r="AP112" s="69"/>
      <c r="AQ112" s="127"/>
      <c r="AR112" s="40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115"/>
    </row>
    <row r="113" spans="1:66" s="2" customFormat="1" ht="20" thickBot="1" x14ac:dyDescent="0.3">
      <c r="A113" s="178"/>
      <c r="B113" s="140"/>
      <c r="C113" s="92" t="s">
        <v>4</v>
      </c>
      <c r="D113" s="88"/>
      <c r="E113" s="88"/>
      <c r="F113" s="88"/>
      <c r="G113" s="89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90"/>
      <c r="AI113" s="36"/>
      <c r="AJ113" s="34"/>
      <c r="AK113" s="34"/>
      <c r="AL113" s="34"/>
      <c r="AM113" s="34"/>
      <c r="AN113" s="53"/>
      <c r="AO113" s="25"/>
      <c r="AP113" s="70"/>
      <c r="AQ113" s="127"/>
      <c r="AR113" s="40"/>
      <c r="AS113" s="116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</row>
    <row r="114" spans="1:66" s="2" customFormat="1" ht="21" thickTop="1" thickBot="1" x14ac:dyDescent="0.3">
      <c r="A114" s="188">
        <v>36</v>
      </c>
      <c r="B114" s="138"/>
      <c r="C114" s="91" t="s">
        <v>11</v>
      </c>
      <c r="D114" s="166"/>
      <c r="E114" s="166"/>
      <c r="F114" s="168"/>
      <c r="G114" s="170"/>
      <c r="H114" s="172"/>
      <c r="I114" s="172"/>
      <c r="J114" s="168"/>
      <c r="K114" s="168"/>
      <c r="L114" s="168"/>
      <c r="M114" s="168"/>
      <c r="N114" s="170"/>
      <c r="O114" s="172"/>
      <c r="P114" s="172"/>
      <c r="Q114" s="168"/>
      <c r="R114" s="168"/>
      <c r="S114" s="168"/>
      <c r="T114" s="174"/>
      <c r="U114" s="170"/>
      <c r="V114" s="172"/>
      <c r="W114" s="172"/>
      <c r="X114" s="168"/>
      <c r="Y114" s="168"/>
      <c r="Z114" s="170"/>
      <c r="AA114" s="170"/>
      <c r="AB114" s="168"/>
      <c r="AC114" s="172"/>
      <c r="AD114" s="172"/>
      <c r="AE114" s="172"/>
      <c r="AF114" s="172"/>
      <c r="AG114" s="168"/>
      <c r="AH114" s="176"/>
      <c r="AI114" s="159">
        <f t="shared" ref="AI114" si="95">SUM(D114:AH114)</f>
        <v>0</v>
      </c>
      <c r="AJ114" s="87"/>
      <c r="AK114" s="39"/>
      <c r="AL114" s="39"/>
      <c r="AM114" s="100">
        <f>SUMIF(D116:AH116, "CO", D114:AH114) + SUMIF(D116:AH116, "CO", D115:AH115)</f>
        <v>0</v>
      </c>
      <c r="AN114" s="54">
        <f ca="1">SUM(AI114:CA114)</f>
        <v>0</v>
      </c>
      <c r="AO114" s="104"/>
      <c r="AP114" s="71"/>
      <c r="AQ114" s="127"/>
      <c r="AR114" s="40"/>
      <c r="AS114" s="116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</row>
    <row r="115" spans="1:66" s="2" customFormat="1" ht="20" thickBot="1" x14ac:dyDescent="0.3">
      <c r="A115" s="142"/>
      <c r="B115" s="139"/>
      <c r="C115" s="3" t="s">
        <v>12</v>
      </c>
      <c r="D115" s="167"/>
      <c r="E115" s="167"/>
      <c r="F115" s="169"/>
      <c r="G115" s="171"/>
      <c r="H115" s="173"/>
      <c r="I115" s="173"/>
      <c r="J115" s="169"/>
      <c r="K115" s="169"/>
      <c r="L115" s="169"/>
      <c r="M115" s="169"/>
      <c r="N115" s="171"/>
      <c r="O115" s="173"/>
      <c r="P115" s="173"/>
      <c r="Q115" s="169"/>
      <c r="R115" s="169"/>
      <c r="S115" s="169"/>
      <c r="T115" s="175"/>
      <c r="U115" s="171"/>
      <c r="V115" s="173"/>
      <c r="W115" s="173"/>
      <c r="X115" s="169"/>
      <c r="Y115" s="169"/>
      <c r="Z115" s="171"/>
      <c r="AA115" s="171"/>
      <c r="AB115" s="169"/>
      <c r="AC115" s="173"/>
      <c r="AD115" s="173"/>
      <c r="AE115" s="173"/>
      <c r="AF115" s="173"/>
      <c r="AG115" s="169"/>
      <c r="AH115" s="177"/>
      <c r="AI115" s="160"/>
      <c r="AJ115" s="11"/>
      <c r="AK115" s="11"/>
      <c r="AL115" s="11"/>
      <c r="AM115" s="11"/>
      <c r="AN115" s="52"/>
      <c r="AO115" s="24"/>
      <c r="AP115" s="69"/>
      <c r="AQ115" s="127"/>
      <c r="AR115" s="43"/>
      <c r="AS115" s="116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</row>
    <row r="116" spans="1:66" s="2" customFormat="1" ht="20" thickBot="1" x14ac:dyDescent="0.3">
      <c r="A116" s="178"/>
      <c r="B116" s="140"/>
      <c r="C116" s="92" t="s">
        <v>4</v>
      </c>
      <c r="D116" s="88"/>
      <c r="E116" s="88"/>
      <c r="F116" s="88"/>
      <c r="G116" s="89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90"/>
      <c r="AI116" s="36"/>
      <c r="AJ116" s="34"/>
      <c r="AK116" s="34"/>
      <c r="AL116" s="34"/>
      <c r="AM116" s="34"/>
      <c r="AN116" s="53"/>
      <c r="AO116" s="25"/>
      <c r="AP116" s="70"/>
      <c r="AQ116" s="127"/>
      <c r="AR116" s="43"/>
      <c r="AS116" s="116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</row>
    <row r="117" spans="1:66" s="2" customFormat="1" ht="21" thickTop="1" thickBot="1" x14ac:dyDescent="0.3">
      <c r="A117" s="188">
        <v>37</v>
      </c>
      <c r="B117" s="138"/>
      <c r="C117" s="91" t="s">
        <v>11</v>
      </c>
      <c r="D117" s="166"/>
      <c r="E117" s="166"/>
      <c r="F117" s="168"/>
      <c r="G117" s="170"/>
      <c r="H117" s="172"/>
      <c r="I117" s="172"/>
      <c r="J117" s="168"/>
      <c r="K117" s="168"/>
      <c r="L117" s="168"/>
      <c r="M117" s="168"/>
      <c r="N117" s="170"/>
      <c r="O117" s="172"/>
      <c r="P117" s="172"/>
      <c r="Q117" s="168"/>
      <c r="R117" s="168"/>
      <c r="S117" s="168"/>
      <c r="T117" s="174"/>
      <c r="U117" s="170"/>
      <c r="V117" s="172"/>
      <c r="W117" s="172"/>
      <c r="X117" s="168"/>
      <c r="Y117" s="168"/>
      <c r="Z117" s="170"/>
      <c r="AA117" s="170"/>
      <c r="AB117" s="168"/>
      <c r="AC117" s="172"/>
      <c r="AD117" s="172"/>
      <c r="AE117" s="172"/>
      <c r="AF117" s="172"/>
      <c r="AG117" s="168"/>
      <c r="AH117" s="176"/>
      <c r="AI117" s="159">
        <f t="shared" ref="AI117" si="96">SUM(D117:AH117)</f>
        <v>0</v>
      </c>
      <c r="AJ117" s="86"/>
      <c r="AK117" s="32"/>
      <c r="AL117" s="8"/>
      <c r="AM117" s="99">
        <f>SUMIF(D119:AH119, "CO", D117:AH117) + SUMIF(D119:AH119, "CO", D118:AH118)</f>
        <v>0</v>
      </c>
      <c r="AN117" s="55">
        <f ca="1">SUM(AI117:CA117)</f>
        <v>0</v>
      </c>
      <c r="AO117" s="8"/>
      <c r="AP117" s="72"/>
      <c r="AQ117" s="127"/>
      <c r="AR117" s="44"/>
      <c r="AS117" s="116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</row>
    <row r="118" spans="1:66" s="2" customFormat="1" ht="20" thickBot="1" x14ac:dyDescent="0.3">
      <c r="A118" s="142"/>
      <c r="B118" s="139"/>
      <c r="C118" s="3" t="s">
        <v>12</v>
      </c>
      <c r="D118" s="167"/>
      <c r="E118" s="167"/>
      <c r="F118" s="169"/>
      <c r="G118" s="171"/>
      <c r="H118" s="173"/>
      <c r="I118" s="173"/>
      <c r="J118" s="169"/>
      <c r="K118" s="169"/>
      <c r="L118" s="169"/>
      <c r="M118" s="169"/>
      <c r="N118" s="171"/>
      <c r="O118" s="173"/>
      <c r="P118" s="173"/>
      <c r="Q118" s="169"/>
      <c r="R118" s="169"/>
      <c r="S118" s="169"/>
      <c r="T118" s="175"/>
      <c r="U118" s="171"/>
      <c r="V118" s="173"/>
      <c r="W118" s="173"/>
      <c r="X118" s="169"/>
      <c r="Y118" s="169"/>
      <c r="Z118" s="171"/>
      <c r="AA118" s="171"/>
      <c r="AB118" s="169"/>
      <c r="AC118" s="173"/>
      <c r="AD118" s="173"/>
      <c r="AE118" s="173"/>
      <c r="AF118" s="173"/>
      <c r="AG118" s="169"/>
      <c r="AH118" s="177"/>
      <c r="AI118" s="160"/>
      <c r="AJ118" s="11"/>
      <c r="AK118" s="21"/>
      <c r="AL118" s="7"/>
      <c r="AM118" s="11"/>
      <c r="AN118" s="56"/>
      <c r="AO118" s="5"/>
      <c r="AP118" s="73"/>
      <c r="AQ118" s="127"/>
      <c r="AR118" s="5"/>
      <c r="AS118" s="116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</row>
    <row r="119" spans="1:66" s="2" customFormat="1" ht="20" thickBot="1" x14ac:dyDescent="0.3">
      <c r="A119" s="178"/>
      <c r="B119" s="140"/>
      <c r="C119" s="92" t="s">
        <v>4</v>
      </c>
      <c r="D119" s="88"/>
      <c r="E119" s="88"/>
      <c r="F119" s="88"/>
      <c r="G119" s="89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90"/>
      <c r="AI119" s="36"/>
      <c r="AJ119" s="34"/>
      <c r="AK119" s="33"/>
      <c r="AL119" s="28"/>
      <c r="AM119" s="34"/>
      <c r="AN119" s="57"/>
      <c r="AO119" s="30"/>
      <c r="AP119" s="74"/>
      <c r="AQ119" s="127"/>
      <c r="AR119" s="5"/>
      <c r="AS119" s="116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115"/>
    </row>
    <row r="120" spans="1:66" s="2" customFormat="1" ht="21" thickTop="1" thickBot="1" x14ac:dyDescent="0.3">
      <c r="A120" s="144">
        <v>38</v>
      </c>
      <c r="B120" s="179"/>
      <c r="C120" s="93" t="s">
        <v>11</v>
      </c>
      <c r="D120" s="182"/>
      <c r="E120" s="182"/>
      <c r="F120" s="184"/>
      <c r="G120" s="186"/>
      <c r="H120" s="184"/>
      <c r="I120" s="184"/>
      <c r="J120" s="184"/>
      <c r="K120" s="184"/>
      <c r="L120" s="184"/>
      <c r="M120" s="184"/>
      <c r="N120" s="186"/>
      <c r="O120" s="184"/>
      <c r="P120" s="184"/>
      <c r="Q120" s="184"/>
      <c r="R120" s="184"/>
      <c r="S120" s="184"/>
      <c r="T120" s="186"/>
      <c r="U120" s="186"/>
      <c r="V120" s="184"/>
      <c r="W120" s="184"/>
      <c r="X120" s="184"/>
      <c r="Y120" s="184"/>
      <c r="Z120" s="186"/>
      <c r="AA120" s="186"/>
      <c r="AB120" s="184"/>
      <c r="AC120" s="184"/>
      <c r="AD120" s="184"/>
      <c r="AE120" s="184"/>
      <c r="AF120" s="184"/>
      <c r="AG120" s="184"/>
      <c r="AH120" s="190"/>
      <c r="AI120" s="159">
        <f t="shared" ref="AI120" si="97">SUM(D120:AH120)</f>
        <v>0</v>
      </c>
      <c r="AJ120" s="87"/>
      <c r="AK120" s="12"/>
      <c r="AL120" s="18"/>
      <c r="AM120" s="100">
        <f>SUMIF(D122:AH122, "CO", D120:AH120) + SUMIF(D122:AH122, "CO", D121:AH121)</f>
        <v>0</v>
      </c>
      <c r="AN120" s="58">
        <f ca="1">SUM(AI120:CA120)</f>
        <v>0</v>
      </c>
      <c r="AO120" s="17"/>
      <c r="AP120" s="75"/>
      <c r="AQ120" s="127"/>
      <c r="AR120" s="45"/>
      <c r="AS120" s="116"/>
      <c r="AT120" s="115"/>
      <c r="AU120" s="115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115"/>
    </row>
    <row r="121" spans="1:66" s="2" customFormat="1" ht="20" thickBot="1" x14ac:dyDescent="0.3">
      <c r="A121" s="142"/>
      <c r="B121" s="180"/>
      <c r="C121" s="94" t="s">
        <v>12</v>
      </c>
      <c r="D121" s="183"/>
      <c r="E121" s="183"/>
      <c r="F121" s="185"/>
      <c r="G121" s="187"/>
      <c r="H121" s="185"/>
      <c r="I121" s="185"/>
      <c r="J121" s="185"/>
      <c r="K121" s="185"/>
      <c r="L121" s="185"/>
      <c r="M121" s="185"/>
      <c r="N121" s="187"/>
      <c r="O121" s="185"/>
      <c r="P121" s="185"/>
      <c r="Q121" s="185"/>
      <c r="R121" s="185"/>
      <c r="S121" s="185"/>
      <c r="T121" s="187"/>
      <c r="U121" s="187"/>
      <c r="V121" s="185"/>
      <c r="W121" s="185"/>
      <c r="X121" s="185"/>
      <c r="Y121" s="185"/>
      <c r="Z121" s="187"/>
      <c r="AA121" s="187"/>
      <c r="AB121" s="185"/>
      <c r="AC121" s="185"/>
      <c r="AD121" s="185"/>
      <c r="AE121" s="185"/>
      <c r="AF121" s="185"/>
      <c r="AG121" s="185"/>
      <c r="AH121" s="191"/>
      <c r="AI121" s="160"/>
      <c r="AJ121" s="11"/>
      <c r="AK121" s="10"/>
      <c r="AL121" s="7"/>
      <c r="AM121" s="11"/>
      <c r="AN121" s="59"/>
      <c r="AO121" s="5"/>
      <c r="AP121" s="73"/>
      <c r="AQ121" s="127"/>
      <c r="AR121" s="5"/>
      <c r="AS121" s="116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115"/>
    </row>
    <row r="122" spans="1:66" s="2" customFormat="1" ht="20" thickBot="1" x14ac:dyDescent="0.3">
      <c r="A122" s="178"/>
      <c r="B122" s="181"/>
      <c r="C122" s="92" t="s">
        <v>4</v>
      </c>
      <c r="D122" s="95"/>
      <c r="E122" s="95"/>
      <c r="F122" s="95"/>
      <c r="G122" s="96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7"/>
      <c r="AI122" s="36"/>
      <c r="AJ122" s="34"/>
      <c r="AK122" s="29"/>
      <c r="AL122" s="28"/>
      <c r="AM122" s="34"/>
      <c r="AN122" s="60"/>
      <c r="AO122" s="30"/>
      <c r="AP122" s="74"/>
      <c r="AQ122" s="127"/>
      <c r="AR122" s="5"/>
      <c r="AS122" s="116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115"/>
      <c r="BN122" s="115"/>
    </row>
    <row r="123" spans="1:66" s="2" customFormat="1" ht="23" thickTop="1" thickBot="1" x14ac:dyDescent="0.3">
      <c r="A123" s="188">
        <v>39</v>
      </c>
      <c r="B123" s="189"/>
      <c r="C123" s="98" t="s">
        <v>11</v>
      </c>
      <c r="D123" s="182"/>
      <c r="E123" s="182"/>
      <c r="F123" s="184"/>
      <c r="G123" s="186"/>
      <c r="H123" s="184"/>
      <c r="I123" s="184"/>
      <c r="J123" s="184"/>
      <c r="K123" s="184"/>
      <c r="L123" s="184"/>
      <c r="M123" s="184"/>
      <c r="N123" s="186"/>
      <c r="O123" s="184"/>
      <c r="P123" s="184"/>
      <c r="Q123" s="184"/>
      <c r="R123" s="184"/>
      <c r="S123" s="184"/>
      <c r="T123" s="186"/>
      <c r="U123" s="186"/>
      <c r="V123" s="184"/>
      <c r="W123" s="184"/>
      <c r="X123" s="184"/>
      <c r="Y123" s="184"/>
      <c r="Z123" s="186"/>
      <c r="AA123" s="186"/>
      <c r="AB123" s="184"/>
      <c r="AC123" s="184"/>
      <c r="AD123" s="184"/>
      <c r="AE123" s="184"/>
      <c r="AF123" s="184"/>
      <c r="AG123" s="184"/>
      <c r="AH123" s="190"/>
      <c r="AI123" s="159">
        <f t="shared" ref="AI123" si="98">SUM(D123:AH123)</f>
        <v>0</v>
      </c>
      <c r="AJ123" s="86"/>
      <c r="AK123" s="12"/>
      <c r="AL123" s="18"/>
      <c r="AM123" s="99">
        <f>SUMIF(D125:AH125, "CO", D123:AH123) + SUMIF(D125:AH125, "CO", D124:AH124)</f>
        <v>0</v>
      </c>
      <c r="AN123" s="58">
        <f ca="1">SUM(AI123:CA123)</f>
        <v>0</v>
      </c>
      <c r="AO123" s="17"/>
      <c r="AP123" s="75"/>
      <c r="AQ123" s="127"/>
      <c r="AR123" s="6"/>
      <c r="AS123" s="116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115"/>
      <c r="BN123" s="115"/>
    </row>
    <row r="124" spans="1:66" s="2" customFormat="1" ht="20" thickBot="1" x14ac:dyDescent="0.3">
      <c r="A124" s="142"/>
      <c r="B124" s="180"/>
      <c r="C124" s="94" t="s">
        <v>12</v>
      </c>
      <c r="D124" s="183"/>
      <c r="E124" s="183"/>
      <c r="F124" s="185"/>
      <c r="G124" s="187"/>
      <c r="H124" s="185"/>
      <c r="I124" s="185"/>
      <c r="J124" s="185"/>
      <c r="K124" s="185"/>
      <c r="L124" s="185"/>
      <c r="M124" s="185"/>
      <c r="N124" s="187"/>
      <c r="O124" s="185"/>
      <c r="P124" s="185"/>
      <c r="Q124" s="185"/>
      <c r="R124" s="185"/>
      <c r="S124" s="185"/>
      <c r="T124" s="187"/>
      <c r="U124" s="187"/>
      <c r="V124" s="185"/>
      <c r="W124" s="185"/>
      <c r="X124" s="185"/>
      <c r="Y124" s="185"/>
      <c r="Z124" s="187"/>
      <c r="AA124" s="187"/>
      <c r="AB124" s="185"/>
      <c r="AC124" s="185"/>
      <c r="AD124" s="185"/>
      <c r="AE124" s="185"/>
      <c r="AF124" s="185"/>
      <c r="AG124" s="185"/>
      <c r="AH124" s="191"/>
      <c r="AI124" s="160"/>
      <c r="AJ124" s="11"/>
      <c r="AK124" s="10"/>
      <c r="AL124" s="7"/>
      <c r="AM124" s="11"/>
      <c r="AN124" s="59"/>
      <c r="AO124" s="5"/>
      <c r="AP124" s="73"/>
      <c r="AQ124" s="127"/>
      <c r="AR124" s="5"/>
      <c r="AS124" s="116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115"/>
      <c r="BM124" s="115"/>
      <c r="BN124" s="115"/>
    </row>
    <row r="125" spans="1:66" s="2" customFormat="1" ht="20" thickBot="1" x14ac:dyDescent="0.3">
      <c r="A125" s="178"/>
      <c r="B125" s="181"/>
      <c r="C125" s="92" t="s">
        <v>4</v>
      </c>
      <c r="D125" s="95"/>
      <c r="E125" s="95"/>
      <c r="F125" s="95"/>
      <c r="G125" s="96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7"/>
      <c r="AI125" s="36"/>
      <c r="AJ125" s="34"/>
      <c r="AK125" s="29"/>
      <c r="AL125" s="28"/>
      <c r="AM125" s="34"/>
      <c r="AN125" s="60"/>
      <c r="AO125" s="30"/>
      <c r="AP125" s="74"/>
      <c r="AQ125" s="127"/>
      <c r="AR125" s="5"/>
      <c r="AS125" s="116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</row>
    <row r="126" spans="1:66" s="2" customFormat="1" ht="21" thickTop="1" thickBot="1" x14ac:dyDescent="0.3">
      <c r="A126" s="188">
        <v>40</v>
      </c>
      <c r="B126" s="189"/>
      <c r="C126" s="98" t="s">
        <v>11</v>
      </c>
      <c r="D126" s="182"/>
      <c r="E126" s="182"/>
      <c r="F126" s="184"/>
      <c r="G126" s="186"/>
      <c r="H126" s="184"/>
      <c r="I126" s="184"/>
      <c r="J126" s="184"/>
      <c r="K126" s="184"/>
      <c r="L126" s="184"/>
      <c r="M126" s="184"/>
      <c r="N126" s="186"/>
      <c r="O126" s="184"/>
      <c r="P126" s="184"/>
      <c r="Q126" s="184"/>
      <c r="R126" s="184"/>
      <c r="S126" s="184"/>
      <c r="T126" s="186"/>
      <c r="U126" s="186"/>
      <c r="V126" s="184"/>
      <c r="W126" s="184"/>
      <c r="X126" s="184"/>
      <c r="Y126" s="184"/>
      <c r="Z126" s="186"/>
      <c r="AA126" s="186"/>
      <c r="AB126" s="184"/>
      <c r="AC126" s="184"/>
      <c r="AD126" s="184"/>
      <c r="AE126" s="184"/>
      <c r="AF126" s="184"/>
      <c r="AG126" s="184"/>
      <c r="AH126" s="190"/>
      <c r="AI126" s="159">
        <f t="shared" ref="AI126" si="99">SUM(D126:AH126)</f>
        <v>0</v>
      </c>
      <c r="AJ126" s="87"/>
      <c r="AK126" s="18"/>
      <c r="AL126" s="18"/>
      <c r="AM126" s="100">
        <f>SUMIF(D128:AH128, "CO", D126:AH126) + SUMIF(D128:AH128, "CO", D127:AH127)</f>
        <v>0</v>
      </c>
      <c r="AN126" s="58">
        <f ca="1">SUM(AI126:CA126)</f>
        <v>0</v>
      </c>
      <c r="AO126" s="17"/>
      <c r="AP126" s="76"/>
      <c r="AQ126" s="127"/>
      <c r="AR126" s="46"/>
      <c r="AS126" s="116"/>
      <c r="AT126" s="115"/>
      <c r="AU126" s="115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115"/>
    </row>
    <row r="127" spans="1:66" s="2" customFormat="1" ht="20" thickBot="1" x14ac:dyDescent="0.3">
      <c r="A127" s="142"/>
      <c r="B127" s="180"/>
      <c r="C127" s="94" t="s">
        <v>12</v>
      </c>
      <c r="D127" s="183"/>
      <c r="E127" s="183"/>
      <c r="F127" s="185"/>
      <c r="G127" s="187"/>
      <c r="H127" s="185"/>
      <c r="I127" s="185"/>
      <c r="J127" s="185"/>
      <c r="K127" s="185"/>
      <c r="L127" s="185"/>
      <c r="M127" s="185"/>
      <c r="N127" s="187"/>
      <c r="O127" s="185"/>
      <c r="P127" s="185"/>
      <c r="Q127" s="185"/>
      <c r="R127" s="185"/>
      <c r="S127" s="185"/>
      <c r="T127" s="187"/>
      <c r="U127" s="187"/>
      <c r="V127" s="185"/>
      <c r="W127" s="185"/>
      <c r="X127" s="185"/>
      <c r="Y127" s="185"/>
      <c r="Z127" s="187"/>
      <c r="AA127" s="187"/>
      <c r="AB127" s="185"/>
      <c r="AC127" s="185"/>
      <c r="AD127" s="185"/>
      <c r="AE127" s="185"/>
      <c r="AF127" s="185"/>
      <c r="AG127" s="185"/>
      <c r="AH127" s="191"/>
      <c r="AI127" s="160"/>
      <c r="AJ127" s="11"/>
      <c r="AK127" s="7"/>
      <c r="AL127" s="7"/>
      <c r="AM127" s="11"/>
      <c r="AN127" s="59"/>
      <c r="AO127" s="5"/>
      <c r="AP127" s="73"/>
      <c r="AQ127" s="127"/>
      <c r="AR127" s="5"/>
      <c r="AS127" s="116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5"/>
      <c r="BL127" s="115"/>
      <c r="BM127" s="115"/>
      <c r="BN127" s="115"/>
    </row>
    <row r="128" spans="1:66" s="2" customFormat="1" ht="20" thickBot="1" x14ac:dyDescent="0.3">
      <c r="A128" s="178"/>
      <c r="B128" s="181"/>
      <c r="C128" s="92" t="s">
        <v>4</v>
      </c>
      <c r="D128" s="95"/>
      <c r="E128" s="95"/>
      <c r="F128" s="95"/>
      <c r="G128" s="96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7"/>
      <c r="AI128" s="36"/>
      <c r="AJ128" s="34"/>
      <c r="AK128" s="28"/>
      <c r="AL128" s="28"/>
      <c r="AM128" s="34"/>
      <c r="AN128" s="60"/>
      <c r="AO128" s="30"/>
      <c r="AP128" s="74"/>
      <c r="AQ128" s="127"/>
      <c r="AR128" s="5"/>
      <c r="AS128" s="116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</row>
    <row r="129" spans="1:66" s="2" customFormat="1" ht="21" thickTop="1" thickBot="1" x14ac:dyDescent="0.3">
      <c r="A129" s="144">
        <v>41</v>
      </c>
      <c r="B129" s="138"/>
      <c r="C129" s="91" t="s">
        <v>11</v>
      </c>
      <c r="D129" s="166"/>
      <c r="E129" s="166"/>
      <c r="F129" s="168"/>
      <c r="G129" s="170"/>
      <c r="H129" s="172"/>
      <c r="I129" s="172"/>
      <c r="J129" s="168"/>
      <c r="K129" s="168"/>
      <c r="L129" s="168"/>
      <c r="M129" s="168"/>
      <c r="N129" s="170"/>
      <c r="O129" s="172"/>
      <c r="P129" s="172"/>
      <c r="Q129" s="168"/>
      <c r="R129" s="168"/>
      <c r="S129" s="168"/>
      <c r="T129" s="174"/>
      <c r="U129" s="170"/>
      <c r="V129" s="172"/>
      <c r="W129" s="172"/>
      <c r="X129" s="168"/>
      <c r="Y129" s="168"/>
      <c r="Z129" s="170"/>
      <c r="AA129" s="170"/>
      <c r="AB129" s="168"/>
      <c r="AC129" s="172"/>
      <c r="AD129" s="172"/>
      <c r="AE129" s="172"/>
      <c r="AF129" s="172"/>
      <c r="AG129" s="168"/>
      <c r="AH129" s="176"/>
      <c r="AI129" s="159">
        <f>SUM(D129:AH129)</f>
        <v>0</v>
      </c>
      <c r="AJ129" s="86"/>
      <c r="AK129" s="18"/>
      <c r="AL129" s="26"/>
      <c r="AM129" s="99">
        <f>SUMIF(D131:AH131, "CO", D129:AH129) + SUMIF(D131:AH131, "CO", D130:AH130)</f>
        <v>0</v>
      </c>
      <c r="AN129" s="61">
        <f ca="1">SUM(AI129:CA129)</f>
        <v>0</v>
      </c>
      <c r="AO129" s="27"/>
      <c r="AP129" s="77"/>
      <c r="AQ129" s="127"/>
      <c r="AR129" s="5"/>
      <c r="AS129" s="116"/>
      <c r="AT129" s="115"/>
      <c r="AU129" s="115"/>
      <c r="AV129" s="115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</row>
    <row r="130" spans="1:66" s="2" customFormat="1" ht="22" thickBot="1" x14ac:dyDescent="0.3">
      <c r="A130" s="142"/>
      <c r="B130" s="139"/>
      <c r="C130" s="3" t="s">
        <v>12</v>
      </c>
      <c r="D130" s="167"/>
      <c r="E130" s="167"/>
      <c r="F130" s="169"/>
      <c r="G130" s="171"/>
      <c r="H130" s="173"/>
      <c r="I130" s="173"/>
      <c r="J130" s="169"/>
      <c r="K130" s="169"/>
      <c r="L130" s="169"/>
      <c r="M130" s="169"/>
      <c r="N130" s="171"/>
      <c r="O130" s="173"/>
      <c r="P130" s="173"/>
      <c r="Q130" s="169"/>
      <c r="R130" s="169"/>
      <c r="S130" s="169"/>
      <c r="T130" s="175"/>
      <c r="U130" s="171"/>
      <c r="V130" s="173"/>
      <c r="W130" s="173"/>
      <c r="X130" s="169"/>
      <c r="Y130" s="169"/>
      <c r="Z130" s="171"/>
      <c r="AA130" s="171"/>
      <c r="AB130" s="169"/>
      <c r="AC130" s="173"/>
      <c r="AD130" s="173"/>
      <c r="AE130" s="173"/>
      <c r="AF130" s="173"/>
      <c r="AG130" s="169"/>
      <c r="AH130" s="177"/>
      <c r="AI130" s="160"/>
      <c r="AJ130" s="11"/>
      <c r="AK130" s="7"/>
      <c r="AL130" s="7"/>
      <c r="AM130" s="11"/>
      <c r="AN130" s="59"/>
      <c r="AO130" s="5"/>
      <c r="AP130" s="78"/>
      <c r="AQ130" s="127"/>
      <c r="AR130" s="5"/>
      <c r="AS130" s="116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</row>
    <row r="131" spans="1:66" s="2" customFormat="1" ht="20" thickBot="1" x14ac:dyDescent="0.3">
      <c r="A131" s="178"/>
      <c r="B131" s="140"/>
      <c r="C131" s="92" t="s">
        <v>4</v>
      </c>
      <c r="D131" s="88"/>
      <c r="E131" s="88"/>
      <c r="F131" s="88"/>
      <c r="G131" s="89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90"/>
      <c r="AI131" s="36"/>
      <c r="AJ131" s="34"/>
      <c r="AK131" s="28"/>
      <c r="AL131" s="28"/>
      <c r="AM131" s="34"/>
      <c r="AN131" s="60"/>
      <c r="AO131" s="30"/>
      <c r="AP131" s="74"/>
      <c r="AQ131" s="127"/>
      <c r="AR131" s="5"/>
      <c r="AS131" s="116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</row>
    <row r="132" spans="1:66" s="2" customFormat="1" ht="21" thickTop="1" thickBot="1" x14ac:dyDescent="0.3">
      <c r="A132" s="188">
        <v>42</v>
      </c>
      <c r="B132" s="138"/>
      <c r="C132" s="91" t="s">
        <v>11</v>
      </c>
      <c r="D132" s="166"/>
      <c r="E132" s="166"/>
      <c r="F132" s="168"/>
      <c r="G132" s="170"/>
      <c r="H132" s="172"/>
      <c r="I132" s="172"/>
      <c r="J132" s="168"/>
      <c r="K132" s="168"/>
      <c r="L132" s="168"/>
      <c r="M132" s="168"/>
      <c r="N132" s="170"/>
      <c r="O132" s="172"/>
      <c r="P132" s="172"/>
      <c r="Q132" s="168"/>
      <c r="R132" s="168"/>
      <c r="S132" s="168"/>
      <c r="T132" s="174"/>
      <c r="U132" s="170"/>
      <c r="V132" s="172"/>
      <c r="W132" s="172"/>
      <c r="X132" s="168"/>
      <c r="Y132" s="168"/>
      <c r="Z132" s="170"/>
      <c r="AA132" s="170"/>
      <c r="AB132" s="168"/>
      <c r="AC132" s="172"/>
      <c r="AD132" s="172"/>
      <c r="AE132" s="172"/>
      <c r="AF132" s="172"/>
      <c r="AG132" s="168"/>
      <c r="AH132" s="176"/>
      <c r="AI132" s="193">
        <f>SUM(D132:AH132)</f>
        <v>0</v>
      </c>
      <c r="AJ132" s="87"/>
      <c r="AK132" s="18"/>
      <c r="AL132" s="26"/>
      <c r="AM132" s="100">
        <f>SUMIF(D134:AH134, "CO", D132:AH132) + SUMIF(D134:AH134, "CO", D133:AH133)</f>
        <v>0</v>
      </c>
      <c r="AN132" s="61">
        <f ca="1">SUM(AI132:CA132)</f>
        <v>0</v>
      </c>
      <c r="AO132" s="27"/>
      <c r="AP132" s="77"/>
      <c r="AQ132" s="127"/>
      <c r="AR132" s="5"/>
      <c r="AS132" s="116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115"/>
      <c r="BN132" s="115"/>
    </row>
    <row r="133" spans="1:66" s="2" customFormat="1" ht="22" thickBot="1" x14ac:dyDescent="0.3">
      <c r="A133" s="142"/>
      <c r="B133" s="139"/>
      <c r="C133" s="3" t="s">
        <v>12</v>
      </c>
      <c r="D133" s="167"/>
      <c r="E133" s="167"/>
      <c r="F133" s="169"/>
      <c r="G133" s="171"/>
      <c r="H133" s="173"/>
      <c r="I133" s="173"/>
      <c r="J133" s="169"/>
      <c r="K133" s="169"/>
      <c r="L133" s="169"/>
      <c r="M133" s="169"/>
      <c r="N133" s="171"/>
      <c r="O133" s="173"/>
      <c r="P133" s="173"/>
      <c r="Q133" s="169"/>
      <c r="R133" s="169"/>
      <c r="S133" s="169"/>
      <c r="T133" s="175"/>
      <c r="U133" s="171"/>
      <c r="V133" s="173"/>
      <c r="W133" s="173"/>
      <c r="X133" s="169"/>
      <c r="Y133" s="169"/>
      <c r="Z133" s="171"/>
      <c r="AA133" s="171"/>
      <c r="AB133" s="169"/>
      <c r="AC133" s="173"/>
      <c r="AD133" s="173"/>
      <c r="AE133" s="173"/>
      <c r="AF133" s="173"/>
      <c r="AG133" s="169"/>
      <c r="AH133" s="177"/>
      <c r="AI133" s="192"/>
      <c r="AJ133" s="11"/>
      <c r="AK133" s="7"/>
      <c r="AL133" s="7"/>
      <c r="AM133" s="11"/>
      <c r="AN133" s="59"/>
      <c r="AO133" s="5"/>
      <c r="AP133" s="78"/>
      <c r="AQ133" s="127"/>
      <c r="AR133" s="5"/>
      <c r="AS133" s="116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115"/>
    </row>
    <row r="134" spans="1:66" s="2" customFormat="1" ht="20" thickBot="1" x14ac:dyDescent="0.3">
      <c r="A134" s="178"/>
      <c r="B134" s="140"/>
      <c r="C134" s="92" t="s">
        <v>4</v>
      </c>
      <c r="D134" s="88"/>
      <c r="E134" s="88"/>
      <c r="F134" s="88"/>
      <c r="G134" s="89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90"/>
      <c r="AI134" s="36"/>
      <c r="AJ134" s="34"/>
      <c r="AK134" s="28"/>
      <c r="AL134" s="28"/>
      <c r="AM134" s="34"/>
      <c r="AN134" s="60"/>
      <c r="AO134" s="30"/>
      <c r="AP134" s="74"/>
      <c r="AQ134" s="127"/>
      <c r="AR134" s="5"/>
      <c r="AS134" s="116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115"/>
    </row>
    <row r="135" spans="1:66" s="2" customFormat="1" ht="21" thickTop="1" thickBot="1" x14ac:dyDescent="0.3">
      <c r="A135" s="188">
        <v>43</v>
      </c>
      <c r="B135" s="138"/>
      <c r="C135" s="91" t="s">
        <v>11</v>
      </c>
      <c r="D135" s="166"/>
      <c r="E135" s="166"/>
      <c r="F135" s="168"/>
      <c r="G135" s="170"/>
      <c r="H135" s="172"/>
      <c r="I135" s="172"/>
      <c r="J135" s="168"/>
      <c r="K135" s="168"/>
      <c r="L135" s="168"/>
      <c r="M135" s="168"/>
      <c r="N135" s="170"/>
      <c r="O135" s="172"/>
      <c r="P135" s="172"/>
      <c r="Q135" s="168"/>
      <c r="R135" s="168"/>
      <c r="S135" s="168"/>
      <c r="T135" s="174"/>
      <c r="U135" s="170"/>
      <c r="V135" s="172"/>
      <c r="W135" s="172"/>
      <c r="X135" s="168"/>
      <c r="Y135" s="168"/>
      <c r="Z135" s="170"/>
      <c r="AA135" s="170"/>
      <c r="AB135" s="168"/>
      <c r="AC135" s="172"/>
      <c r="AD135" s="172"/>
      <c r="AE135" s="172"/>
      <c r="AF135" s="172"/>
      <c r="AG135" s="168"/>
      <c r="AH135" s="176"/>
      <c r="AI135" s="159">
        <f>SUM(D135:AH135)</f>
        <v>0</v>
      </c>
      <c r="AJ135" s="86"/>
      <c r="AK135" s="18"/>
      <c r="AL135" s="26"/>
      <c r="AM135" s="99">
        <f>SUMIF(D137:AH137, "CO", D135:AH135) + SUMIF(D137:AH137, "CO", D136:AH136)</f>
        <v>0</v>
      </c>
      <c r="AN135" s="61">
        <f ca="1">SUM(AI135:CA135)</f>
        <v>0</v>
      </c>
      <c r="AO135" s="27"/>
      <c r="AP135" s="77"/>
      <c r="AQ135" s="127"/>
      <c r="AR135" s="5"/>
      <c r="AS135" s="116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115"/>
      <c r="BN135" s="115"/>
    </row>
    <row r="136" spans="1:66" s="2" customFormat="1" ht="22" thickBot="1" x14ac:dyDescent="0.3">
      <c r="A136" s="142"/>
      <c r="B136" s="139"/>
      <c r="C136" s="3" t="s">
        <v>12</v>
      </c>
      <c r="D136" s="167"/>
      <c r="E136" s="167"/>
      <c r="F136" s="169"/>
      <c r="G136" s="171"/>
      <c r="H136" s="173"/>
      <c r="I136" s="173"/>
      <c r="J136" s="169"/>
      <c r="K136" s="169"/>
      <c r="L136" s="169"/>
      <c r="M136" s="169"/>
      <c r="N136" s="171"/>
      <c r="O136" s="173"/>
      <c r="P136" s="173"/>
      <c r="Q136" s="169"/>
      <c r="R136" s="169"/>
      <c r="S136" s="169"/>
      <c r="T136" s="175"/>
      <c r="U136" s="171"/>
      <c r="V136" s="173"/>
      <c r="W136" s="173"/>
      <c r="X136" s="169"/>
      <c r="Y136" s="169"/>
      <c r="Z136" s="171"/>
      <c r="AA136" s="171"/>
      <c r="AB136" s="169"/>
      <c r="AC136" s="173"/>
      <c r="AD136" s="173"/>
      <c r="AE136" s="173"/>
      <c r="AF136" s="173"/>
      <c r="AG136" s="169"/>
      <c r="AH136" s="177"/>
      <c r="AI136" s="160"/>
      <c r="AJ136" s="11"/>
      <c r="AK136" s="7"/>
      <c r="AL136" s="7"/>
      <c r="AM136" s="11"/>
      <c r="AN136" s="59"/>
      <c r="AO136" s="5"/>
      <c r="AP136" s="78"/>
      <c r="AQ136" s="127"/>
      <c r="AR136" s="5"/>
      <c r="AS136" s="116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115"/>
      <c r="BN136" s="115"/>
    </row>
    <row r="137" spans="1:66" s="2" customFormat="1" ht="20" thickBot="1" x14ac:dyDescent="0.3">
      <c r="A137" s="178"/>
      <c r="B137" s="140"/>
      <c r="C137" s="92" t="s">
        <v>4</v>
      </c>
      <c r="D137" s="88"/>
      <c r="E137" s="88"/>
      <c r="F137" s="88"/>
      <c r="G137" s="89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90"/>
      <c r="AI137" s="36"/>
      <c r="AJ137" s="34"/>
      <c r="AK137" s="47"/>
      <c r="AL137" s="47"/>
      <c r="AM137" s="34"/>
      <c r="AN137" s="62"/>
      <c r="AO137" s="48"/>
      <c r="AP137" s="79"/>
      <c r="AQ137" s="128"/>
      <c r="AR137" s="5"/>
      <c r="AS137" s="116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115"/>
      <c r="BN137" s="115"/>
    </row>
    <row r="138" spans="1:66" s="2" customFormat="1" ht="20" thickTop="1" x14ac:dyDescent="0.25">
      <c r="A138" s="144">
        <v>44</v>
      </c>
      <c r="B138" s="138"/>
      <c r="C138" s="91" t="s">
        <v>11</v>
      </c>
      <c r="D138" s="166"/>
      <c r="E138" s="166"/>
      <c r="F138" s="168"/>
      <c r="G138" s="170"/>
      <c r="H138" s="172"/>
      <c r="I138" s="172"/>
      <c r="J138" s="168"/>
      <c r="K138" s="168"/>
      <c r="L138" s="168"/>
      <c r="M138" s="168"/>
      <c r="N138" s="170"/>
      <c r="O138" s="172"/>
      <c r="P138" s="172"/>
      <c r="Q138" s="168"/>
      <c r="R138" s="168"/>
      <c r="S138" s="168"/>
      <c r="T138" s="174"/>
      <c r="U138" s="170"/>
      <c r="V138" s="172"/>
      <c r="W138" s="172"/>
      <c r="X138" s="168"/>
      <c r="Y138" s="168"/>
      <c r="Z138" s="170"/>
      <c r="AA138" s="170"/>
      <c r="AB138" s="168"/>
      <c r="AC138" s="172"/>
      <c r="AD138" s="172"/>
      <c r="AE138" s="172"/>
      <c r="AF138" s="172"/>
      <c r="AG138" s="168"/>
      <c r="AH138" s="176"/>
      <c r="AI138" s="159">
        <f>SUM(D138:AH138)</f>
        <v>0</v>
      </c>
      <c r="AJ138" s="87"/>
      <c r="AK138" s="7"/>
      <c r="AL138" s="7"/>
      <c r="AM138" s="100">
        <f>SUMIF(D140:AH140, "CO", D138:AH138) + SUMIF(D140:AH140, "CO", D139:AH139)</f>
        <v>0</v>
      </c>
      <c r="AN138" s="59">
        <f ca="1">SUM(AI138:CA138)</f>
        <v>0</v>
      </c>
      <c r="AO138" s="5"/>
      <c r="AP138" s="73"/>
      <c r="AQ138" s="129"/>
      <c r="AR138" s="5"/>
      <c r="AS138" s="116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115"/>
    </row>
    <row r="139" spans="1:66" s="2" customFormat="1" ht="21" x14ac:dyDescent="0.25">
      <c r="A139" s="142"/>
      <c r="B139" s="139"/>
      <c r="C139" s="3" t="s">
        <v>12</v>
      </c>
      <c r="D139" s="167"/>
      <c r="E139" s="167"/>
      <c r="F139" s="169"/>
      <c r="G139" s="171"/>
      <c r="H139" s="173"/>
      <c r="I139" s="173"/>
      <c r="J139" s="169"/>
      <c r="K139" s="169"/>
      <c r="L139" s="169"/>
      <c r="M139" s="169"/>
      <c r="N139" s="171"/>
      <c r="O139" s="173"/>
      <c r="P139" s="173"/>
      <c r="Q139" s="169"/>
      <c r="R139" s="169"/>
      <c r="S139" s="169"/>
      <c r="T139" s="175"/>
      <c r="U139" s="171"/>
      <c r="V139" s="173"/>
      <c r="W139" s="173"/>
      <c r="X139" s="169"/>
      <c r="Y139" s="169"/>
      <c r="Z139" s="171"/>
      <c r="AA139" s="171"/>
      <c r="AB139" s="169"/>
      <c r="AC139" s="173"/>
      <c r="AD139" s="173"/>
      <c r="AE139" s="173"/>
      <c r="AF139" s="173"/>
      <c r="AG139" s="169"/>
      <c r="AH139" s="177"/>
      <c r="AI139" s="160"/>
      <c r="AJ139" s="11"/>
      <c r="AK139" s="7"/>
      <c r="AL139" s="7"/>
      <c r="AM139" s="11"/>
      <c r="AN139" s="59"/>
      <c r="AO139" s="5"/>
      <c r="AP139" s="78"/>
      <c r="AQ139" s="129"/>
      <c r="AR139" s="5"/>
      <c r="AS139" s="116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</row>
    <row r="140" spans="1:66" s="2" customFormat="1" ht="22" thickBot="1" x14ac:dyDescent="0.3">
      <c r="A140" s="178"/>
      <c r="B140" s="140"/>
      <c r="C140" s="92" t="s">
        <v>4</v>
      </c>
      <c r="D140" s="88"/>
      <c r="E140" s="88"/>
      <c r="F140" s="88"/>
      <c r="G140" s="89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90"/>
      <c r="AI140" s="36"/>
      <c r="AJ140" s="34"/>
      <c r="AK140" s="7"/>
      <c r="AL140" s="7"/>
      <c r="AM140" s="34"/>
      <c r="AN140" s="59"/>
      <c r="AO140" s="5"/>
      <c r="AP140" s="78"/>
      <c r="AQ140" s="129"/>
      <c r="AR140" s="5"/>
      <c r="AS140" s="116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115"/>
      <c r="BN140" s="115"/>
    </row>
    <row r="141" spans="1:66" s="2" customFormat="1" ht="20" thickTop="1" x14ac:dyDescent="0.25">
      <c r="A141" s="188">
        <v>45</v>
      </c>
      <c r="B141" s="138"/>
      <c r="C141" s="91" t="s">
        <v>11</v>
      </c>
      <c r="D141" s="166"/>
      <c r="E141" s="166"/>
      <c r="F141" s="168"/>
      <c r="G141" s="170"/>
      <c r="H141" s="172"/>
      <c r="I141" s="172"/>
      <c r="J141" s="168"/>
      <c r="K141" s="168"/>
      <c r="L141" s="168"/>
      <c r="M141" s="168"/>
      <c r="N141" s="170"/>
      <c r="O141" s="172"/>
      <c r="P141" s="172"/>
      <c r="Q141" s="168"/>
      <c r="R141" s="168"/>
      <c r="S141" s="168"/>
      <c r="T141" s="174"/>
      <c r="U141" s="170"/>
      <c r="V141" s="172"/>
      <c r="W141" s="172"/>
      <c r="X141" s="168"/>
      <c r="Y141" s="168"/>
      <c r="Z141" s="170"/>
      <c r="AA141" s="170"/>
      <c r="AB141" s="168"/>
      <c r="AC141" s="172"/>
      <c r="AD141" s="172"/>
      <c r="AE141" s="172"/>
      <c r="AF141" s="172"/>
      <c r="AG141" s="168"/>
      <c r="AH141" s="176"/>
      <c r="AI141" s="159">
        <f>SUM(D141:AH141)</f>
        <v>0</v>
      </c>
      <c r="AJ141" s="86"/>
      <c r="AK141" s="7"/>
      <c r="AL141" s="7"/>
      <c r="AM141" s="99">
        <f>SUMIF(D143:AH143, "CO", D141:AH141) + SUMIF(D143:AH143, "CO", D142:AH142)</f>
        <v>0</v>
      </c>
      <c r="AN141" s="59">
        <f ca="1">SUM(AI141:CA141)</f>
        <v>0</v>
      </c>
      <c r="AO141" s="5"/>
      <c r="AP141" s="73"/>
      <c r="AQ141" s="129"/>
      <c r="AR141" s="5"/>
      <c r="AS141" s="116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115"/>
      <c r="BN141" s="115"/>
    </row>
    <row r="142" spans="1:66" s="2" customFormat="1" ht="21" x14ac:dyDescent="0.25">
      <c r="A142" s="142"/>
      <c r="B142" s="139"/>
      <c r="C142" s="3" t="s">
        <v>12</v>
      </c>
      <c r="D142" s="167"/>
      <c r="E142" s="167"/>
      <c r="F142" s="169"/>
      <c r="G142" s="171"/>
      <c r="H142" s="173"/>
      <c r="I142" s="173"/>
      <c r="J142" s="169"/>
      <c r="K142" s="169"/>
      <c r="L142" s="169"/>
      <c r="M142" s="169"/>
      <c r="N142" s="171"/>
      <c r="O142" s="173"/>
      <c r="P142" s="173"/>
      <c r="Q142" s="169"/>
      <c r="R142" s="169"/>
      <c r="S142" s="169"/>
      <c r="T142" s="175"/>
      <c r="U142" s="171"/>
      <c r="V142" s="173"/>
      <c r="W142" s="173"/>
      <c r="X142" s="169"/>
      <c r="Y142" s="169"/>
      <c r="Z142" s="171"/>
      <c r="AA142" s="171"/>
      <c r="AB142" s="169"/>
      <c r="AC142" s="173"/>
      <c r="AD142" s="173"/>
      <c r="AE142" s="173"/>
      <c r="AF142" s="173"/>
      <c r="AG142" s="169"/>
      <c r="AH142" s="177"/>
      <c r="AI142" s="160"/>
      <c r="AJ142" s="11"/>
      <c r="AK142" s="7"/>
      <c r="AL142" s="7"/>
      <c r="AM142" s="11"/>
      <c r="AN142" s="59"/>
      <c r="AO142" s="5"/>
      <c r="AP142" s="78"/>
      <c r="AQ142" s="129"/>
      <c r="AR142" s="5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115"/>
      <c r="BN142" s="115"/>
    </row>
    <row r="143" spans="1:66" s="2" customFormat="1" ht="22" thickBot="1" x14ac:dyDescent="0.3">
      <c r="A143" s="178"/>
      <c r="B143" s="140"/>
      <c r="C143" s="92" t="s">
        <v>4</v>
      </c>
      <c r="D143" s="88"/>
      <c r="E143" s="88"/>
      <c r="F143" s="88"/>
      <c r="G143" s="89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90"/>
      <c r="AI143" s="36"/>
      <c r="AJ143" s="34"/>
      <c r="AK143" s="7"/>
      <c r="AL143" s="7"/>
      <c r="AM143" s="34"/>
      <c r="AN143" s="59"/>
      <c r="AO143" s="5"/>
      <c r="AP143" s="78"/>
      <c r="AQ143" s="129"/>
      <c r="AR143" s="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</row>
    <row r="144" spans="1:66" s="2" customFormat="1" ht="20" thickTop="1" x14ac:dyDescent="0.25">
      <c r="A144" s="188">
        <v>46</v>
      </c>
      <c r="B144" s="179"/>
      <c r="C144" s="93" t="s">
        <v>11</v>
      </c>
      <c r="D144" s="182"/>
      <c r="E144" s="182"/>
      <c r="F144" s="184"/>
      <c r="G144" s="186"/>
      <c r="H144" s="184"/>
      <c r="I144" s="184"/>
      <c r="J144" s="184"/>
      <c r="K144" s="184"/>
      <c r="L144" s="184"/>
      <c r="M144" s="184"/>
      <c r="N144" s="186"/>
      <c r="O144" s="184"/>
      <c r="P144" s="184"/>
      <c r="Q144" s="184"/>
      <c r="R144" s="184"/>
      <c r="S144" s="184"/>
      <c r="T144" s="186"/>
      <c r="U144" s="186"/>
      <c r="V144" s="184"/>
      <c r="W144" s="184"/>
      <c r="X144" s="184"/>
      <c r="Y144" s="184"/>
      <c r="Z144" s="186"/>
      <c r="AA144" s="186"/>
      <c r="AB144" s="184"/>
      <c r="AC144" s="184"/>
      <c r="AD144" s="184"/>
      <c r="AE144" s="184"/>
      <c r="AF144" s="184"/>
      <c r="AG144" s="184"/>
      <c r="AH144" s="190"/>
      <c r="AI144" s="159">
        <f>SUM(D144:AH144)</f>
        <v>0</v>
      </c>
      <c r="AJ144" s="87"/>
      <c r="AK144" s="7"/>
      <c r="AL144" s="7"/>
      <c r="AM144" s="100">
        <f>SUMIF(D146:AH146, "CO", D144:AH144) + SUMIF(D146:AH146, "CO", D145:AH145)</f>
        <v>0</v>
      </c>
      <c r="AN144" s="59">
        <f ca="1">SUM(AI144:CA144)</f>
        <v>0</v>
      </c>
      <c r="AO144" s="5"/>
      <c r="AP144" s="73"/>
      <c r="AQ144" s="129"/>
      <c r="AR144" s="5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115"/>
    </row>
    <row r="145" spans="1:66" s="2" customFormat="1" ht="21" x14ac:dyDescent="0.25">
      <c r="A145" s="142"/>
      <c r="B145" s="180"/>
      <c r="C145" s="94" t="s">
        <v>12</v>
      </c>
      <c r="D145" s="183"/>
      <c r="E145" s="183"/>
      <c r="F145" s="185"/>
      <c r="G145" s="187"/>
      <c r="H145" s="185"/>
      <c r="I145" s="185"/>
      <c r="J145" s="185"/>
      <c r="K145" s="185"/>
      <c r="L145" s="185"/>
      <c r="M145" s="185"/>
      <c r="N145" s="187"/>
      <c r="O145" s="185"/>
      <c r="P145" s="185"/>
      <c r="Q145" s="185"/>
      <c r="R145" s="185"/>
      <c r="S145" s="185"/>
      <c r="T145" s="187"/>
      <c r="U145" s="187"/>
      <c r="V145" s="185"/>
      <c r="W145" s="185"/>
      <c r="X145" s="185"/>
      <c r="Y145" s="185"/>
      <c r="Z145" s="187"/>
      <c r="AA145" s="187"/>
      <c r="AB145" s="185"/>
      <c r="AC145" s="185"/>
      <c r="AD145" s="185"/>
      <c r="AE145" s="185"/>
      <c r="AF145" s="185"/>
      <c r="AG145" s="185"/>
      <c r="AH145" s="191"/>
      <c r="AI145" s="160"/>
      <c r="AJ145" s="11"/>
      <c r="AK145" s="7"/>
      <c r="AL145" s="7"/>
      <c r="AM145" s="11"/>
      <c r="AN145" s="59"/>
      <c r="AO145" s="5"/>
      <c r="AP145" s="78"/>
      <c r="AQ145" s="129"/>
      <c r="AR145" s="5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115"/>
    </row>
    <row r="146" spans="1:66" s="2" customFormat="1" ht="22" thickBot="1" x14ac:dyDescent="0.3">
      <c r="A146" s="178"/>
      <c r="B146" s="181"/>
      <c r="C146" s="92" t="s">
        <v>4</v>
      </c>
      <c r="D146" s="95"/>
      <c r="E146" s="95"/>
      <c r="F146" s="95"/>
      <c r="G146" s="96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7"/>
      <c r="AI146" s="36"/>
      <c r="AJ146" s="34"/>
      <c r="AK146" s="7"/>
      <c r="AL146" s="7"/>
      <c r="AM146" s="34"/>
      <c r="AN146" s="59"/>
      <c r="AO146" s="5"/>
      <c r="AP146" s="78"/>
      <c r="AQ146" s="129"/>
      <c r="AR146" s="5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</row>
    <row r="147" spans="1:66" s="2" customFormat="1" ht="20" thickTop="1" x14ac:dyDescent="0.25">
      <c r="A147" s="144">
        <v>47</v>
      </c>
      <c r="B147" s="189"/>
      <c r="C147" s="98" t="s">
        <v>11</v>
      </c>
      <c r="D147" s="182"/>
      <c r="E147" s="182"/>
      <c r="F147" s="184"/>
      <c r="G147" s="186"/>
      <c r="H147" s="184"/>
      <c r="I147" s="184"/>
      <c r="J147" s="184"/>
      <c r="K147" s="184"/>
      <c r="L147" s="184"/>
      <c r="M147" s="184"/>
      <c r="N147" s="186"/>
      <c r="O147" s="184"/>
      <c r="P147" s="184"/>
      <c r="Q147" s="184"/>
      <c r="R147" s="184"/>
      <c r="S147" s="184"/>
      <c r="T147" s="186"/>
      <c r="U147" s="186"/>
      <c r="V147" s="184"/>
      <c r="W147" s="184"/>
      <c r="X147" s="184"/>
      <c r="Y147" s="184"/>
      <c r="Z147" s="186"/>
      <c r="AA147" s="186"/>
      <c r="AB147" s="184"/>
      <c r="AC147" s="184"/>
      <c r="AD147" s="184"/>
      <c r="AE147" s="184"/>
      <c r="AF147" s="184"/>
      <c r="AG147" s="184"/>
      <c r="AH147" s="190"/>
      <c r="AI147" s="159">
        <f t="shared" ref="AI147" si="100">SUM(D147:AH147)</f>
        <v>0</v>
      </c>
      <c r="AJ147" s="86"/>
      <c r="AK147" s="7"/>
      <c r="AL147" s="7"/>
      <c r="AM147" s="99">
        <f>SUMIF(D149:AH149, "CO", D147:AH147) + SUMIF(D149:AH149, "CO", D148:AH148)</f>
        <v>0</v>
      </c>
      <c r="AN147" s="59">
        <f ca="1">SUM(AI147:CA147)</f>
        <v>0</v>
      </c>
      <c r="AO147" s="5"/>
      <c r="AP147" s="73"/>
      <c r="AQ147" s="129"/>
      <c r="AR147" s="5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115"/>
    </row>
    <row r="148" spans="1:66" s="2" customFormat="1" ht="21" x14ac:dyDescent="0.25">
      <c r="A148" s="142"/>
      <c r="B148" s="180"/>
      <c r="C148" s="94" t="s">
        <v>12</v>
      </c>
      <c r="D148" s="183"/>
      <c r="E148" s="183"/>
      <c r="F148" s="185"/>
      <c r="G148" s="187"/>
      <c r="H148" s="185"/>
      <c r="I148" s="185"/>
      <c r="J148" s="185"/>
      <c r="K148" s="185"/>
      <c r="L148" s="185"/>
      <c r="M148" s="185"/>
      <c r="N148" s="187"/>
      <c r="O148" s="185"/>
      <c r="P148" s="185"/>
      <c r="Q148" s="185"/>
      <c r="R148" s="185"/>
      <c r="S148" s="185"/>
      <c r="T148" s="187"/>
      <c r="U148" s="187"/>
      <c r="V148" s="185"/>
      <c r="W148" s="185"/>
      <c r="X148" s="185"/>
      <c r="Y148" s="185"/>
      <c r="Z148" s="187"/>
      <c r="AA148" s="187"/>
      <c r="AB148" s="185"/>
      <c r="AC148" s="185"/>
      <c r="AD148" s="185"/>
      <c r="AE148" s="185"/>
      <c r="AF148" s="185"/>
      <c r="AG148" s="185"/>
      <c r="AH148" s="191"/>
      <c r="AI148" s="160"/>
      <c r="AJ148" s="11"/>
      <c r="AK148" s="7"/>
      <c r="AL148" s="7"/>
      <c r="AM148" s="11"/>
      <c r="AN148" s="59"/>
      <c r="AO148" s="5"/>
      <c r="AP148" s="78"/>
      <c r="AQ148" s="129"/>
      <c r="AR148" s="5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</row>
    <row r="149" spans="1:66" s="2" customFormat="1" ht="22" thickBot="1" x14ac:dyDescent="0.3">
      <c r="A149" s="178"/>
      <c r="B149" s="181"/>
      <c r="C149" s="92" t="s">
        <v>4</v>
      </c>
      <c r="D149" s="95"/>
      <c r="E149" s="95"/>
      <c r="F149" s="95"/>
      <c r="G149" s="96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7"/>
      <c r="AI149" s="36"/>
      <c r="AJ149" s="34"/>
      <c r="AK149" s="7"/>
      <c r="AL149" s="7"/>
      <c r="AM149" s="34"/>
      <c r="AN149" s="59"/>
      <c r="AO149" s="5"/>
      <c r="AP149" s="78"/>
      <c r="AQ149" s="129"/>
      <c r="AR149" s="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</row>
    <row r="150" spans="1:66" s="2" customFormat="1" ht="20" thickTop="1" x14ac:dyDescent="0.25">
      <c r="A150" s="188">
        <v>48</v>
      </c>
      <c r="B150" s="189"/>
      <c r="C150" s="98" t="s">
        <v>11</v>
      </c>
      <c r="D150" s="182"/>
      <c r="E150" s="182"/>
      <c r="F150" s="184"/>
      <c r="G150" s="186"/>
      <c r="H150" s="184"/>
      <c r="I150" s="184"/>
      <c r="J150" s="184"/>
      <c r="K150" s="184"/>
      <c r="L150" s="184"/>
      <c r="M150" s="184"/>
      <c r="N150" s="186"/>
      <c r="O150" s="184"/>
      <c r="P150" s="184"/>
      <c r="Q150" s="184"/>
      <c r="R150" s="184"/>
      <c r="S150" s="184"/>
      <c r="T150" s="186"/>
      <c r="U150" s="186"/>
      <c r="V150" s="184"/>
      <c r="W150" s="184"/>
      <c r="X150" s="184"/>
      <c r="Y150" s="184"/>
      <c r="Z150" s="186"/>
      <c r="AA150" s="186"/>
      <c r="AB150" s="184"/>
      <c r="AC150" s="184"/>
      <c r="AD150" s="184"/>
      <c r="AE150" s="184"/>
      <c r="AF150" s="184"/>
      <c r="AG150" s="184"/>
      <c r="AH150" s="190"/>
      <c r="AI150" s="159">
        <f t="shared" ref="AI150" si="101">SUM(D150:AH150)</f>
        <v>0</v>
      </c>
      <c r="AJ150" s="87"/>
      <c r="AK150" s="7"/>
      <c r="AL150" s="7"/>
      <c r="AM150" s="100">
        <f>SUMIF(D152:AH152, "CO", D150:AH150) + SUMIF(D152:AH152, "CO", D151:AH151)</f>
        <v>0</v>
      </c>
      <c r="AN150" s="59">
        <f ca="1">SUM(AI150:CA150)</f>
        <v>0</v>
      </c>
      <c r="AO150" s="5"/>
      <c r="AP150" s="73"/>
      <c r="AQ150" s="129"/>
      <c r="AR150" s="5"/>
      <c r="AS150" s="115"/>
      <c r="AT150" s="115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115"/>
      <c r="BG150" s="115"/>
      <c r="BH150" s="115"/>
      <c r="BI150" s="115"/>
      <c r="BJ150" s="115"/>
      <c r="BK150" s="115"/>
      <c r="BL150" s="115"/>
      <c r="BM150" s="115"/>
      <c r="BN150" s="115"/>
    </row>
    <row r="151" spans="1:66" s="2" customFormat="1" ht="21" x14ac:dyDescent="0.25">
      <c r="A151" s="142"/>
      <c r="B151" s="180"/>
      <c r="C151" s="94" t="s">
        <v>12</v>
      </c>
      <c r="D151" s="183"/>
      <c r="E151" s="183"/>
      <c r="F151" s="185"/>
      <c r="G151" s="187"/>
      <c r="H151" s="185"/>
      <c r="I151" s="185"/>
      <c r="J151" s="185"/>
      <c r="K151" s="185"/>
      <c r="L151" s="185"/>
      <c r="M151" s="185"/>
      <c r="N151" s="187"/>
      <c r="O151" s="185"/>
      <c r="P151" s="185"/>
      <c r="Q151" s="185"/>
      <c r="R151" s="185"/>
      <c r="S151" s="185"/>
      <c r="T151" s="187"/>
      <c r="U151" s="187"/>
      <c r="V151" s="185"/>
      <c r="W151" s="185"/>
      <c r="X151" s="185"/>
      <c r="Y151" s="185"/>
      <c r="Z151" s="187"/>
      <c r="AA151" s="187"/>
      <c r="AB151" s="185"/>
      <c r="AC151" s="185"/>
      <c r="AD151" s="185"/>
      <c r="AE151" s="185"/>
      <c r="AF151" s="185"/>
      <c r="AG151" s="185"/>
      <c r="AH151" s="191"/>
      <c r="AI151" s="160"/>
      <c r="AJ151" s="11"/>
      <c r="AK151" s="7"/>
      <c r="AL151" s="7"/>
      <c r="AM151" s="11"/>
      <c r="AN151" s="59"/>
      <c r="AO151" s="5"/>
      <c r="AP151" s="78"/>
      <c r="AQ151" s="129"/>
      <c r="AR151" s="5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115"/>
      <c r="BI151" s="115"/>
      <c r="BJ151" s="115"/>
      <c r="BK151" s="115"/>
      <c r="BL151" s="115"/>
      <c r="BM151" s="115"/>
      <c r="BN151" s="115"/>
    </row>
    <row r="152" spans="1:66" s="2" customFormat="1" ht="22" thickBot="1" x14ac:dyDescent="0.3">
      <c r="A152" s="178"/>
      <c r="B152" s="181"/>
      <c r="C152" s="92" t="s">
        <v>4</v>
      </c>
      <c r="D152" s="95"/>
      <c r="E152" s="95"/>
      <c r="F152" s="95"/>
      <c r="G152" s="96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7"/>
      <c r="AI152" s="36"/>
      <c r="AJ152" s="34"/>
      <c r="AK152" s="7"/>
      <c r="AL152" s="7"/>
      <c r="AM152" s="34"/>
      <c r="AN152" s="59"/>
      <c r="AO152" s="5"/>
      <c r="AP152" s="78"/>
      <c r="AQ152" s="129"/>
      <c r="AR152" s="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</row>
    <row r="153" spans="1:66" s="2" customFormat="1" ht="21" thickTop="1" thickBot="1" x14ac:dyDescent="0.3">
      <c r="A153" s="188">
        <v>49</v>
      </c>
      <c r="B153" s="138"/>
      <c r="C153" s="91" t="s">
        <v>11</v>
      </c>
      <c r="D153" s="166"/>
      <c r="E153" s="166"/>
      <c r="F153" s="168"/>
      <c r="G153" s="170"/>
      <c r="H153" s="172"/>
      <c r="I153" s="172"/>
      <c r="J153" s="168"/>
      <c r="K153" s="168"/>
      <c r="L153" s="168"/>
      <c r="M153" s="168"/>
      <c r="N153" s="170"/>
      <c r="O153" s="172"/>
      <c r="P153" s="172"/>
      <c r="Q153" s="168"/>
      <c r="R153" s="168"/>
      <c r="S153" s="168"/>
      <c r="T153" s="174"/>
      <c r="U153" s="170"/>
      <c r="V153" s="172"/>
      <c r="W153" s="172"/>
      <c r="X153" s="168"/>
      <c r="Y153" s="168"/>
      <c r="Z153" s="170"/>
      <c r="AA153" s="170"/>
      <c r="AB153" s="168"/>
      <c r="AC153" s="172"/>
      <c r="AD153" s="172"/>
      <c r="AE153" s="172"/>
      <c r="AF153" s="172"/>
      <c r="AG153" s="168"/>
      <c r="AH153" s="176"/>
      <c r="AI153" s="159">
        <f t="shared" ref="AI153" si="102">SUM(D153:AH153)</f>
        <v>0</v>
      </c>
      <c r="AJ153" s="86"/>
      <c r="AK153" s="31"/>
      <c r="AL153" s="31"/>
      <c r="AM153" s="99">
        <f>SUMIF(D155:AH155, "CO", D153:AH153) + SUMIF(D155:AH155, "CO", D154:AH154)</f>
        <v>0</v>
      </c>
      <c r="AN153" s="51">
        <f ca="1">SUM(AI153:CA153)</f>
        <v>0</v>
      </c>
      <c r="AO153" s="103"/>
      <c r="AP153" s="68"/>
      <c r="AQ153" s="127"/>
      <c r="AR153" s="40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</row>
    <row r="154" spans="1:66" s="2" customFormat="1" ht="20" thickBot="1" x14ac:dyDescent="0.3">
      <c r="A154" s="142"/>
      <c r="B154" s="139"/>
      <c r="C154" s="3" t="s">
        <v>12</v>
      </c>
      <c r="D154" s="167"/>
      <c r="E154" s="167"/>
      <c r="F154" s="169"/>
      <c r="G154" s="171"/>
      <c r="H154" s="173"/>
      <c r="I154" s="173"/>
      <c r="J154" s="169"/>
      <c r="K154" s="169"/>
      <c r="L154" s="169"/>
      <c r="M154" s="169"/>
      <c r="N154" s="171"/>
      <c r="O154" s="173"/>
      <c r="P154" s="173"/>
      <c r="Q154" s="169"/>
      <c r="R154" s="169"/>
      <c r="S154" s="169"/>
      <c r="T154" s="175"/>
      <c r="U154" s="171"/>
      <c r="V154" s="173"/>
      <c r="W154" s="173"/>
      <c r="X154" s="169"/>
      <c r="Y154" s="169"/>
      <c r="Z154" s="171"/>
      <c r="AA154" s="171"/>
      <c r="AB154" s="169"/>
      <c r="AC154" s="173"/>
      <c r="AD154" s="173"/>
      <c r="AE154" s="173"/>
      <c r="AF154" s="173"/>
      <c r="AG154" s="169"/>
      <c r="AH154" s="177"/>
      <c r="AI154" s="160"/>
      <c r="AJ154" s="11"/>
      <c r="AK154" s="11"/>
      <c r="AL154" s="11"/>
      <c r="AM154" s="11"/>
      <c r="AN154" s="52"/>
      <c r="AO154" s="24"/>
      <c r="AP154" s="69"/>
      <c r="AQ154" s="127"/>
      <c r="AR154" s="40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</row>
    <row r="155" spans="1:66" s="2" customFormat="1" ht="20" thickBot="1" x14ac:dyDescent="0.3">
      <c r="A155" s="178"/>
      <c r="B155" s="140"/>
      <c r="C155" s="92" t="s">
        <v>4</v>
      </c>
      <c r="D155" s="88"/>
      <c r="E155" s="88"/>
      <c r="F155" s="88"/>
      <c r="G155" s="89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90"/>
      <c r="AI155" s="36"/>
      <c r="AJ155" s="34"/>
      <c r="AK155" s="34"/>
      <c r="AL155" s="34"/>
      <c r="AM155" s="34"/>
      <c r="AN155" s="53"/>
      <c r="AO155" s="25"/>
      <c r="AP155" s="70"/>
      <c r="AQ155" s="127"/>
      <c r="AR155" s="40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</row>
    <row r="156" spans="1:66" s="2" customFormat="1" ht="21" thickTop="1" thickBot="1" x14ac:dyDescent="0.3">
      <c r="A156" s="144">
        <v>50</v>
      </c>
      <c r="B156" s="138"/>
      <c r="C156" s="91" t="s">
        <v>11</v>
      </c>
      <c r="D156" s="166"/>
      <c r="E156" s="166"/>
      <c r="F156" s="168"/>
      <c r="G156" s="170"/>
      <c r="H156" s="172"/>
      <c r="I156" s="172"/>
      <c r="J156" s="168"/>
      <c r="K156" s="168"/>
      <c r="L156" s="168"/>
      <c r="M156" s="168"/>
      <c r="N156" s="170"/>
      <c r="O156" s="172"/>
      <c r="P156" s="172"/>
      <c r="Q156" s="168"/>
      <c r="R156" s="168"/>
      <c r="S156" s="168"/>
      <c r="T156" s="174"/>
      <c r="U156" s="170"/>
      <c r="V156" s="172"/>
      <c r="W156" s="172"/>
      <c r="X156" s="168"/>
      <c r="Y156" s="168"/>
      <c r="Z156" s="170"/>
      <c r="AA156" s="170"/>
      <c r="AB156" s="168"/>
      <c r="AC156" s="172"/>
      <c r="AD156" s="172"/>
      <c r="AE156" s="172"/>
      <c r="AF156" s="172"/>
      <c r="AG156" s="168"/>
      <c r="AH156" s="176"/>
      <c r="AI156" s="159">
        <f t="shared" ref="AI156" si="103">SUM(D156:AH156)</f>
        <v>0</v>
      </c>
      <c r="AJ156" s="87"/>
      <c r="AK156" s="39"/>
      <c r="AL156" s="39"/>
      <c r="AM156" s="100">
        <f>SUMIF(D158:AH158, "CO", D156:AH156) + SUMIF(D158:AH158, "CO", D157:AH157)</f>
        <v>0</v>
      </c>
      <c r="AN156" s="54">
        <f ca="1">SUM(AI156:CA156)</f>
        <v>0</v>
      </c>
      <c r="AO156" s="104"/>
      <c r="AP156" s="71"/>
      <c r="AQ156" s="127"/>
      <c r="AR156" s="40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</row>
    <row r="157" spans="1:66" s="2" customFormat="1" ht="20" thickBot="1" x14ac:dyDescent="0.3">
      <c r="A157" s="142"/>
      <c r="B157" s="139"/>
      <c r="C157" s="3" t="s">
        <v>12</v>
      </c>
      <c r="D157" s="167"/>
      <c r="E157" s="167"/>
      <c r="F157" s="169"/>
      <c r="G157" s="171"/>
      <c r="H157" s="173"/>
      <c r="I157" s="173"/>
      <c r="J157" s="169"/>
      <c r="K157" s="169"/>
      <c r="L157" s="169"/>
      <c r="M157" s="169"/>
      <c r="N157" s="171"/>
      <c r="O157" s="173"/>
      <c r="P157" s="173"/>
      <c r="Q157" s="169"/>
      <c r="R157" s="169"/>
      <c r="S157" s="169"/>
      <c r="T157" s="175"/>
      <c r="U157" s="171"/>
      <c r="V157" s="173"/>
      <c r="W157" s="173"/>
      <c r="X157" s="169"/>
      <c r="Y157" s="169"/>
      <c r="Z157" s="171"/>
      <c r="AA157" s="171"/>
      <c r="AB157" s="169"/>
      <c r="AC157" s="173"/>
      <c r="AD157" s="173"/>
      <c r="AE157" s="173"/>
      <c r="AF157" s="173"/>
      <c r="AG157" s="169"/>
      <c r="AH157" s="177"/>
      <c r="AI157" s="160"/>
      <c r="AJ157" s="11"/>
      <c r="AK157" s="11"/>
      <c r="AL157" s="11"/>
      <c r="AM157" s="11"/>
      <c r="AN157" s="52"/>
      <c r="AO157" s="24"/>
      <c r="AP157" s="69"/>
      <c r="AQ157" s="127"/>
      <c r="AR157" s="43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</row>
    <row r="158" spans="1:66" s="2" customFormat="1" ht="20" thickBot="1" x14ac:dyDescent="0.3">
      <c r="A158" s="178"/>
      <c r="B158" s="140"/>
      <c r="C158" s="92" t="s">
        <v>4</v>
      </c>
      <c r="D158" s="88"/>
      <c r="E158" s="88"/>
      <c r="F158" s="88"/>
      <c r="G158" s="89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90"/>
      <c r="AI158" s="36"/>
      <c r="AJ158" s="34"/>
      <c r="AK158" s="34"/>
      <c r="AL158" s="34"/>
      <c r="AM158" s="34"/>
      <c r="AN158" s="53"/>
      <c r="AO158" s="25"/>
      <c r="AP158" s="70"/>
      <c r="AQ158" s="127"/>
      <c r="AR158" s="43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</row>
    <row r="159" spans="1:66" s="2" customFormat="1" ht="21" thickTop="1" thickBot="1" x14ac:dyDescent="0.3">
      <c r="A159" s="188">
        <v>51</v>
      </c>
      <c r="B159" s="138"/>
      <c r="C159" s="91" t="s">
        <v>11</v>
      </c>
      <c r="D159" s="166"/>
      <c r="E159" s="166"/>
      <c r="F159" s="168"/>
      <c r="G159" s="170"/>
      <c r="H159" s="172"/>
      <c r="I159" s="172"/>
      <c r="J159" s="168"/>
      <c r="K159" s="168"/>
      <c r="L159" s="168"/>
      <c r="M159" s="168"/>
      <c r="N159" s="170"/>
      <c r="O159" s="172"/>
      <c r="P159" s="172"/>
      <c r="Q159" s="168"/>
      <c r="R159" s="168"/>
      <c r="S159" s="168"/>
      <c r="T159" s="174"/>
      <c r="U159" s="170"/>
      <c r="V159" s="172"/>
      <c r="W159" s="172"/>
      <c r="X159" s="168"/>
      <c r="Y159" s="168"/>
      <c r="Z159" s="170"/>
      <c r="AA159" s="170"/>
      <c r="AB159" s="168"/>
      <c r="AC159" s="172"/>
      <c r="AD159" s="172"/>
      <c r="AE159" s="172"/>
      <c r="AF159" s="172"/>
      <c r="AG159" s="168"/>
      <c r="AH159" s="176"/>
      <c r="AI159" s="159">
        <f t="shared" ref="AI159" si="104">SUM(D159:AH159)</f>
        <v>0</v>
      </c>
      <c r="AJ159" s="86"/>
      <c r="AK159" s="32"/>
      <c r="AL159" s="8"/>
      <c r="AM159" s="99">
        <f>SUMIF(D161:AH161, "CO", D159:AH159) + SUMIF(D161:AH161, "CO", D160:AH160)</f>
        <v>0</v>
      </c>
      <c r="AN159" s="55">
        <f ca="1">SUM(AI159:CA159)</f>
        <v>0</v>
      </c>
      <c r="AO159" s="8"/>
      <c r="AP159" s="72"/>
      <c r="AQ159" s="127"/>
      <c r="AR159" s="44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3"/>
      <c r="BC159" s="113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</row>
    <row r="160" spans="1:66" s="2" customFormat="1" ht="20" thickBot="1" x14ac:dyDescent="0.3">
      <c r="A160" s="142"/>
      <c r="B160" s="139"/>
      <c r="C160" s="3" t="s">
        <v>12</v>
      </c>
      <c r="D160" s="167"/>
      <c r="E160" s="167"/>
      <c r="F160" s="169"/>
      <c r="G160" s="171"/>
      <c r="H160" s="173"/>
      <c r="I160" s="173"/>
      <c r="J160" s="169"/>
      <c r="K160" s="169"/>
      <c r="L160" s="169"/>
      <c r="M160" s="169"/>
      <c r="N160" s="171"/>
      <c r="O160" s="173"/>
      <c r="P160" s="173"/>
      <c r="Q160" s="169"/>
      <c r="R160" s="169"/>
      <c r="S160" s="169"/>
      <c r="T160" s="175"/>
      <c r="U160" s="171"/>
      <c r="V160" s="173"/>
      <c r="W160" s="173"/>
      <c r="X160" s="169"/>
      <c r="Y160" s="169"/>
      <c r="Z160" s="171"/>
      <c r="AA160" s="171"/>
      <c r="AB160" s="169"/>
      <c r="AC160" s="173"/>
      <c r="AD160" s="173"/>
      <c r="AE160" s="173"/>
      <c r="AF160" s="173"/>
      <c r="AG160" s="169"/>
      <c r="AH160" s="177"/>
      <c r="AI160" s="160"/>
      <c r="AJ160" s="11"/>
      <c r="AK160" s="21"/>
      <c r="AL160" s="7"/>
      <c r="AM160" s="11"/>
      <c r="AN160" s="56"/>
      <c r="AO160" s="5"/>
      <c r="AP160" s="73"/>
      <c r="AQ160" s="127"/>
      <c r="AR160" s="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3"/>
      <c r="BC160" s="113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</row>
    <row r="161" spans="1:66" s="2" customFormat="1" ht="20" thickBot="1" x14ac:dyDescent="0.3">
      <c r="A161" s="178"/>
      <c r="B161" s="140"/>
      <c r="C161" s="92" t="s">
        <v>4</v>
      </c>
      <c r="D161" s="88"/>
      <c r="E161" s="88"/>
      <c r="F161" s="88"/>
      <c r="G161" s="89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90"/>
      <c r="AI161" s="36"/>
      <c r="AJ161" s="34"/>
      <c r="AK161" s="33"/>
      <c r="AL161" s="28"/>
      <c r="AM161" s="34"/>
      <c r="AN161" s="57"/>
      <c r="AO161" s="30"/>
      <c r="AP161" s="74"/>
      <c r="AQ161" s="127"/>
      <c r="AR161" s="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3"/>
      <c r="BC161" s="113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</row>
    <row r="162" spans="1:66" s="2" customFormat="1" ht="21" thickTop="1" thickBot="1" x14ac:dyDescent="0.3">
      <c r="A162" s="188">
        <v>52</v>
      </c>
      <c r="B162" s="179"/>
      <c r="C162" s="93" t="s">
        <v>11</v>
      </c>
      <c r="D162" s="182"/>
      <c r="E162" s="182"/>
      <c r="F162" s="184"/>
      <c r="G162" s="186"/>
      <c r="H162" s="184"/>
      <c r="I162" s="184"/>
      <c r="J162" s="184"/>
      <c r="K162" s="184"/>
      <c r="L162" s="184"/>
      <c r="M162" s="184"/>
      <c r="N162" s="186"/>
      <c r="O162" s="184"/>
      <c r="P162" s="184"/>
      <c r="Q162" s="184"/>
      <c r="R162" s="184"/>
      <c r="S162" s="184"/>
      <c r="T162" s="186"/>
      <c r="U162" s="186"/>
      <c r="V162" s="184"/>
      <c r="W162" s="184"/>
      <c r="X162" s="184"/>
      <c r="Y162" s="184"/>
      <c r="Z162" s="186"/>
      <c r="AA162" s="186"/>
      <c r="AB162" s="184"/>
      <c r="AC162" s="184"/>
      <c r="AD162" s="184"/>
      <c r="AE162" s="184"/>
      <c r="AF162" s="184"/>
      <c r="AG162" s="184"/>
      <c r="AH162" s="190"/>
      <c r="AI162" s="159">
        <f t="shared" ref="AI162" si="105">SUM(D162:AH162)</f>
        <v>0</v>
      </c>
      <c r="AJ162" s="87"/>
      <c r="AK162" s="12"/>
      <c r="AL162" s="18"/>
      <c r="AM162" s="100">
        <f>SUMIF(D164:AH164, "CO", D162:AH162) + SUMIF(D164:AH164, "CO", D163:AH163)</f>
        <v>0</v>
      </c>
      <c r="AN162" s="58">
        <f ca="1">SUM(AI162:CA162)</f>
        <v>0</v>
      </c>
      <c r="AO162" s="17"/>
      <c r="AP162" s="75"/>
      <c r="AQ162" s="127"/>
      <c r="AR162" s="4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3"/>
      <c r="BC162" s="113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</row>
    <row r="163" spans="1:66" s="2" customFormat="1" ht="20" thickBot="1" x14ac:dyDescent="0.3">
      <c r="A163" s="142"/>
      <c r="B163" s="180"/>
      <c r="C163" s="94" t="s">
        <v>12</v>
      </c>
      <c r="D163" s="183"/>
      <c r="E163" s="183"/>
      <c r="F163" s="185"/>
      <c r="G163" s="187"/>
      <c r="H163" s="185"/>
      <c r="I163" s="185"/>
      <c r="J163" s="185"/>
      <c r="K163" s="185"/>
      <c r="L163" s="185"/>
      <c r="M163" s="185"/>
      <c r="N163" s="187"/>
      <c r="O163" s="185"/>
      <c r="P163" s="185"/>
      <c r="Q163" s="185"/>
      <c r="R163" s="185"/>
      <c r="S163" s="185"/>
      <c r="T163" s="187"/>
      <c r="U163" s="187"/>
      <c r="V163" s="185"/>
      <c r="W163" s="185"/>
      <c r="X163" s="185"/>
      <c r="Y163" s="185"/>
      <c r="Z163" s="187"/>
      <c r="AA163" s="187"/>
      <c r="AB163" s="185"/>
      <c r="AC163" s="185"/>
      <c r="AD163" s="185"/>
      <c r="AE163" s="185"/>
      <c r="AF163" s="185"/>
      <c r="AG163" s="185"/>
      <c r="AH163" s="191"/>
      <c r="AI163" s="160"/>
      <c r="AJ163" s="11"/>
      <c r="AK163" s="10"/>
      <c r="AL163" s="7"/>
      <c r="AM163" s="11"/>
      <c r="AN163" s="59"/>
      <c r="AO163" s="5"/>
      <c r="AP163" s="73"/>
      <c r="AQ163" s="127"/>
      <c r="AR163" s="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3"/>
      <c r="BC163" s="113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</row>
    <row r="164" spans="1:66" s="2" customFormat="1" ht="20" thickBot="1" x14ac:dyDescent="0.3">
      <c r="A164" s="178"/>
      <c r="B164" s="181"/>
      <c r="C164" s="92" t="s">
        <v>4</v>
      </c>
      <c r="D164" s="95"/>
      <c r="E164" s="95"/>
      <c r="F164" s="95"/>
      <c r="G164" s="96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7"/>
      <c r="AI164" s="36"/>
      <c r="AJ164" s="34"/>
      <c r="AK164" s="29"/>
      <c r="AL164" s="28"/>
      <c r="AM164" s="34"/>
      <c r="AN164" s="60"/>
      <c r="AO164" s="30"/>
      <c r="AP164" s="74"/>
      <c r="AQ164" s="127"/>
      <c r="AR164" s="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3"/>
      <c r="BC164" s="113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</row>
    <row r="165" spans="1:66" s="2" customFormat="1" ht="23" thickTop="1" thickBot="1" x14ac:dyDescent="0.3">
      <c r="A165" s="144">
        <v>53</v>
      </c>
      <c r="B165" s="189"/>
      <c r="C165" s="98" t="s">
        <v>11</v>
      </c>
      <c r="D165" s="182"/>
      <c r="E165" s="182"/>
      <c r="F165" s="184"/>
      <c r="G165" s="186"/>
      <c r="H165" s="184"/>
      <c r="I165" s="184"/>
      <c r="J165" s="184"/>
      <c r="K165" s="184"/>
      <c r="L165" s="184"/>
      <c r="M165" s="184"/>
      <c r="N165" s="186"/>
      <c r="O165" s="184"/>
      <c r="P165" s="184"/>
      <c r="Q165" s="184"/>
      <c r="R165" s="184"/>
      <c r="S165" s="184"/>
      <c r="T165" s="186"/>
      <c r="U165" s="186"/>
      <c r="V165" s="184"/>
      <c r="W165" s="184"/>
      <c r="X165" s="184"/>
      <c r="Y165" s="184"/>
      <c r="Z165" s="186"/>
      <c r="AA165" s="186"/>
      <c r="AB165" s="184"/>
      <c r="AC165" s="184"/>
      <c r="AD165" s="184"/>
      <c r="AE165" s="184"/>
      <c r="AF165" s="184"/>
      <c r="AG165" s="184"/>
      <c r="AH165" s="190"/>
      <c r="AI165" s="159">
        <f t="shared" ref="AI165" si="106">SUM(D165:AH165)</f>
        <v>0</v>
      </c>
      <c r="AJ165" s="86"/>
      <c r="AK165" s="12"/>
      <c r="AL165" s="18"/>
      <c r="AM165" s="99">
        <f>SUMIF(D167:AH167, "CO", D165:AH165) + SUMIF(D167:AH167, "CO", D166:AH166)</f>
        <v>0</v>
      </c>
      <c r="AN165" s="58">
        <f ca="1">SUM(AI165:CA165)</f>
        <v>0</v>
      </c>
      <c r="AO165" s="17"/>
      <c r="AP165" s="75"/>
      <c r="AQ165" s="127"/>
      <c r="AR165" s="6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3"/>
      <c r="BC165" s="113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</row>
    <row r="166" spans="1:66" s="2" customFormat="1" ht="20" thickBot="1" x14ac:dyDescent="0.3">
      <c r="A166" s="142"/>
      <c r="B166" s="180"/>
      <c r="C166" s="94" t="s">
        <v>12</v>
      </c>
      <c r="D166" s="183"/>
      <c r="E166" s="183"/>
      <c r="F166" s="185"/>
      <c r="G166" s="187"/>
      <c r="H166" s="185"/>
      <c r="I166" s="185"/>
      <c r="J166" s="185"/>
      <c r="K166" s="185"/>
      <c r="L166" s="185"/>
      <c r="M166" s="185"/>
      <c r="N166" s="187"/>
      <c r="O166" s="185"/>
      <c r="P166" s="185"/>
      <c r="Q166" s="185"/>
      <c r="R166" s="185"/>
      <c r="S166" s="185"/>
      <c r="T166" s="187"/>
      <c r="U166" s="187"/>
      <c r="V166" s="185"/>
      <c r="W166" s="185"/>
      <c r="X166" s="185"/>
      <c r="Y166" s="185"/>
      <c r="Z166" s="187"/>
      <c r="AA166" s="187"/>
      <c r="AB166" s="185"/>
      <c r="AC166" s="185"/>
      <c r="AD166" s="185"/>
      <c r="AE166" s="185"/>
      <c r="AF166" s="185"/>
      <c r="AG166" s="185"/>
      <c r="AH166" s="191"/>
      <c r="AI166" s="160"/>
      <c r="AJ166" s="11"/>
      <c r="AK166" s="10"/>
      <c r="AL166" s="7"/>
      <c r="AM166" s="11"/>
      <c r="AN166" s="59"/>
      <c r="AO166" s="5"/>
      <c r="AP166" s="73"/>
      <c r="AQ166" s="127"/>
      <c r="AR166" s="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3"/>
      <c r="BC166" s="113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</row>
    <row r="167" spans="1:66" s="2" customFormat="1" ht="20" thickBot="1" x14ac:dyDescent="0.3">
      <c r="A167" s="178"/>
      <c r="B167" s="181"/>
      <c r="C167" s="92" t="s">
        <v>4</v>
      </c>
      <c r="D167" s="95"/>
      <c r="E167" s="95"/>
      <c r="F167" s="95"/>
      <c r="G167" s="96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7"/>
      <c r="AI167" s="36"/>
      <c r="AJ167" s="34"/>
      <c r="AK167" s="29"/>
      <c r="AL167" s="28"/>
      <c r="AM167" s="34"/>
      <c r="AN167" s="60"/>
      <c r="AO167" s="30"/>
      <c r="AP167" s="74"/>
      <c r="AQ167" s="127"/>
      <c r="AR167" s="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3"/>
      <c r="BC167" s="113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</row>
    <row r="168" spans="1:66" s="2" customFormat="1" ht="21" thickTop="1" thickBot="1" x14ac:dyDescent="0.3">
      <c r="A168" s="188">
        <v>54</v>
      </c>
      <c r="B168" s="189"/>
      <c r="C168" s="98" t="s">
        <v>11</v>
      </c>
      <c r="D168" s="182"/>
      <c r="E168" s="182"/>
      <c r="F168" s="184"/>
      <c r="G168" s="186"/>
      <c r="H168" s="184"/>
      <c r="I168" s="184"/>
      <c r="J168" s="184"/>
      <c r="K168" s="184"/>
      <c r="L168" s="184"/>
      <c r="M168" s="184"/>
      <c r="N168" s="186"/>
      <c r="O168" s="184"/>
      <c r="P168" s="184"/>
      <c r="Q168" s="184"/>
      <c r="R168" s="184"/>
      <c r="S168" s="184"/>
      <c r="T168" s="186"/>
      <c r="U168" s="186"/>
      <c r="V168" s="184"/>
      <c r="W168" s="184"/>
      <c r="X168" s="184"/>
      <c r="Y168" s="184"/>
      <c r="Z168" s="186"/>
      <c r="AA168" s="186"/>
      <c r="AB168" s="184"/>
      <c r="AC168" s="184"/>
      <c r="AD168" s="184"/>
      <c r="AE168" s="184"/>
      <c r="AF168" s="184"/>
      <c r="AG168" s="184"/>
      <c r="AH168" s="190"/>
      <c r="AI168" s="159">
        <f t="shared" ref="AI168" si="107">SUM(D168:AH168)</f>
        <v>0</v>
      </c>
      <c r="AJ168" s="87"/>
      <c r="AK168" s="18"/>
      <c r="AL168" s="18"/>
      <c r="AM168" s="100">
        <f>SUMIF(D170:AH170, "CO", D168:AH168) + SUMIF(D170:AH170, "CO", D169:AH169)</f>
        <v>0</v>
      </c>
      <c r="AN168" s="58">
        <f ca="1">SUM(AI168:CA168)</f>
        <v>0</v>
      </c>
      <c r="AO168" s="17"/>
      <c r="AP168" s="76"/>
      <c r="AQ168" s="127"/>
      <c r="AR168" s="46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3"/>
      <c r="BC168" s="113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</row>
    <row r="169" spans="1:66" s="2" customFormat="1" ht="20" thickBot="1" x14ac:dyDescent="0.3">
      <c r="A169" s="142"/>
      <c r="B169" s="180"/>
      <c r="C169" s="94" t="s">
        <v>12</v>
      </c>
      <c r="D169" s="183"/>
      <c r="E169" s="183"/>
      <c r="F169" s="185"/>
      <c r="G169" s="187"/>
      <c r="H169" s="185"/>
      <c r="I169" s="185"/>
      <c r="J169" s="185"/>
      <c r="K169" s="185"/>
      <c r="L169" s="185"/>
      <c r="M169" s="185"/>
      <c r="N169" s="187"/>
      <c r="O169" s="185"/>
      <c r="P169" s="185"/>
      <c r="Q169" s="185"/>
      <c r="R169" s="185"/>
      <c r="S169" s="185"/>
      <c r="T169" s="187"/>
      <c r="U169" s="187"/>
      <c r="V169" s="185"/>
      <c r="W169" s="185"/>
      <c r="X169" s="185"/>
      <c r="Y169" s="185"/>
      <c r="Z169" s="187"/>
      <c r="AA169" s="187"/>
      <c r="AB169" s="185"/>
      <c r="AC169" s="185"/>
      <c r="AD169" s="185"/>
      <c r="AE169" s="185"/>
      <c r="AF169" s="185"/>
      <c r="AG169" s="185"/>
      <c r="AH169" s="191"/>
      <c r="AI169" s="160"/>
      <c r="AJ169" s="11"/>
      <c r="AK169" s="7"/>
      <c r="AL169" s="7"/>
      <c r="AM169" s="11"/>
      <c r="AN169" s="59"/>
      <c r="AO169" s="5"/>
      <c r="AP169" s="73"/>
      <c r="AQ169" s="127"/>
      <c r="AR169" s="5"/>
      <c r="AS169" s="115"/>
      <c r="AT169" s="115"/>
      <c r="AU169" s="115"/>
      <c r="AV169" s="115"/>
      <c r="AW169" s="115"/>
      <c r="AX169" s="115"/>
      <c r="AY169" s="115"/>
      <c r="AZ169" s="115"/>
      <c r="BA169" s="115"/>
      <c r="BB169" s="113"/>
      <c r="BC169" s="113"/>
      <c r="BD169" s="115"/>
      <c r="BE169" s="115"/>
      <c r="BF169" s="115"/>
      <c r="BG169" s="115"/>
      <c r="BH169" s="115"/>
      <c r="BI169" s="115"/>
      <c r="BJ169" s="115"/>
      <c r="BK169" s="115"/>
      <c r="BL169" s="115"/>
      <c r="BM169" s="115"/>
      <c r="BN169" s="115"/>
    </row>
    <row r="170" spans="1:66" s="2" customFormat="1" ht="20" thickBot="1" x14ac:dyDescent="0.3">
      <c r="A170" s="178"/>
      <c r="B170" s="181"/>
      <c r="C170" s="92" t="s">
        <v>4</v>
      </c>
      <c r="D170" s="95"/>
      <c r="E170" s="95"/>
      <c r="F170" s="95"/>
      <c r="G170" s="96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7"/>
      <c r="AI170" s="36"/>
      <c r="AJ170" s="34"/>
      <c r="AK170" s="28"/>
      <c r="AL170" s="28"/>
      <c r="AM170" s="34"/>
      <c r="AN170" s="60"/>
      <c r="AO170" s="30"/>
      <c r="AP170" s="74"/>
      <c r="AQ170" s="127"/>
      <c r="AR170" s="5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113"/>
      <c r="BC170" s="113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115"/>
      <c r="BN170" s="115"/>
    </row>
    <row r="171" spans="1:66" s="2" customFormat="1" ht="21" thickTop="1" thickBot="1" x14ac:dyDescent="0.3">
      <c r="A171" s="188">
        <v>55</v>
      </c>
      <c r="B171" s="138"/>
      <c r="C171" s="91" t="s">
        <v>11</v>
      </c>
      <c r="D171" s="166"/>
      <c r="E171" s="166"/>
      <c r="F171" s="168"/>
      <c r="G171" s="170"/>
      <c r="H171" s="172"/>
      <c r="I171" s="172"/>
      <c r="J171" s="168"/>
      <c r="K171" s="168"/>
      <c r="L171" s="168"/>
      <c r="M171" s="168"/>
      <c r="N171" s="170"/>
      <c r="O171" s="172"/>
      <c r="P171" s="172"/>
      <c r="Q171" s="168"/>
      <c r="R171" s="168"/>
      <c r="S171" s="168"/>
      <c r="T171" s="174"/>
      <c r="U171" s="170"/>
      <c r="V171" s="172"/>
      <c r="W171" s="172"/>
      <c r="X171" s="168"/>
      <c r="Y171" s="168"/>
      <c r="Z171" s="170"/>
      <c r="AA171" s="170"/>
      <c r="AB171" s="168"/>
      <c r="AC171" s="172"/>
      <c r="AD171" s="172"/>
      <c r="AE171" s="172"/>
      <c r="AF171" s="172"/>
      <c r="AG171" s="168"/>
      <c r="AH171" s="176"/>
      <c r="AI171" s="159">
        <f t="shared" ref="AI171" si="108">SUM(D171:AH171)</f>
        <v>0</v>
      </c>
      <c r="AJ171" s="86"/>
      <c r="AK171" s="18"/>
      <c r="AL171" s="26"/>
      <c r="AM171" s="99">
        <f>SUMIF(D173:AH173, "CO", D171:AH171) + SUMIF(D173:AH173, "CO", D172:AH172)</f>
        <v>0</v>
      </c>
      <c r="AN171" s="61">
        <f ca="1">SUM(AI171:CA171)</f>
        <v>0</v>
      </c>
      <c r="AO171" s="27"/>
      <c r="AP171" s="77"/>
      <c r="AQ171" s="127"/>
      <c r="AR171" s="5"/>
      <c r="AS171" s="115"/>
      <c r="AT171" s="115"/>
      <c r="AU171" s="115"/>
      <c r="AV171" s="115"/>
      <c r="AW171" s="115"/>
      <c r="AX171" s="115"/>
      <c r="AY171" s="115"/>
      <c r="AZ171" s="115"/>
      <c r="BA171" s="115"/>
      <c r="BB171" s="113"/>
      <c r="BC171" s="113"/>
      <c r="BD171" s="115"/>
      <c r="BE171" s="115"/>
      <c r="BF171" s="115"/>
      <c r="BG171" s="115"/>
      <c r="BH171" s="115"/>
      <c r="BI171" s="115"/>
      <c r="BJ171" s="115"/>
      <c r="BK171" s="115"/>
      <c r="BL171" s="115"/>
      <c r="BM171" s="115"/>
      <c r="BN171" s="115"/>
    </row>
    <row r="172" spans="1:66" s="2" customFormat="1" ht="22" thickBot="1" x14ac:dyDescent="0.3">
      <c r="A172" s="142"/>
      <c r="B172" s="139"/>
      <c r="C172" s="3" t="s">
        <v>12</v>
      </c>
      <c r="D172" s="167"/>
      <c r="E172" s="167"/>
      <c r="F172" s="169"/>
      <c r="G172" s="171"/>
      <c r="H172" s="173"/>
      <c r="I172" s="173"/>
      <c r="J172" s="169"/>
      <c r="K172" s="169"/>
      <c r="L172" s="169"/>
      <c r="M172" s="169"/>
      <c r="N172" s="171"/>
      <c r="O172" s="173"/>
      <c r="P172" s="173"/>
      <c r="Q172" s="169"/>
      <c r="R172" s="169"/>
      <c r="S172" s="169"/>
      <c r="T172" s="175"/>
      <c r="U172" s="171"/>
      <c r="V172" s="173"/>
      <c r="W172" s="173"/>
      <c r="X172" s="169"/>
      <c r="Y172" s="169"/>
      <c r="Z172" s="171"/>
      <c r="AA172" s="171"/>
      <c r="AB172" s="169"/>
      <c r="AC172" s="173"/>
      <c r="AD172" s="173"/>
      <c r="AE172" s="173"/>
      <c r="AF172" s="173"/>
      <c r="AG172" s="169"/>
      <c r="AH172" s="177"/>
      <c r="AI172" s="160"/>
      <c r="AJ172" s="11"/>
      <c r="AK172" s="7"/>
      <c r="AL172" s="7"/>
      <c r="AM172" s="11"/>
      <c r="AN172" s="59"/>
      <c r="AO172" s="5"/>
      <c r="AP172" s="78"/>
      <c r="AQ172" s="127"/>
      <c r="AR172" s="5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113"/>
      <c r="BC172" s="113"/>
      <c r="BD172" s="115"/>
      <c r="BE172" s="115"/>
      <c r="BF172" s="115"/>
      <c r="BG172" s="115"/>
      <c r="BH172" s="115"/>
      <c r="BI172" s="115"/>
      <c r="BJ172" s="115"/>
      <c r="BK172" s="115"/>
      <c r="BL172" s="115"/>
      <c r="BM172" s="115"/>
      <c r="BN172" s="115"/>
    </row>
    <row r="173" spans="1:66" s="2" customFormat="1" ht="20" thickBot="1" x14ac:dyDescent="0.3">
      <c r="A173" s="178"/>
      <c r="B173" s="140"/>
      <c r="C173" s="92" t="s">
        <v>4</v>
      </c>
      <c r="D173" s="88"/>
      <c r="E173" s="88"/>
      <c r="F173" s="88"/>
      <c r="G173" s="89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90"/>
      <c r="AI173" s="36"/>
      <c r="AJ173" s="34"/>
      <c r="AK173" s="28"/>
      <c r="AL173" s="28"/>
      <c r="AM173" s="34"/>
      <c r="AN173" s="60"/>
      <c r="AO173" s="30"/>
      <c r="AP173" s="74"/>
      <c r="AQ173" s="127"/>
      <c r="AR173" s="5"/>
      <c r="AS173" s="115"/>
      <c r="AT173" s="115"/>
      <c r="AU173" s="115"/>
      <c r="AV173" s="115"/>
      <c r="AW173" s="115"/>
      <c r="AX173" s="115"/>
      <c r="AY173" s="115"/>
      <c r="AZ173" s="115"/>
      <c r="BA173" s="115"/>
      <c r="BB173" s="113"/>
      <c r="BC173" s="113"/>
      <c r="BD173" s="115"/>
      <c r="BE173" s="115"/>
      <c r="BF173" s="115"/>
      <c r="BG173" s="115"/>
      <c r="BH173" s="115"/>
      <c r="BI173" s="115"/>
      <c r="BJ173" s="115"/>
      <c r="BK173" s="115"/>
      <c r="BL173" s="115"/>
      <c r="BM173" s="115"/>
      <c r="BN173" s="115"/>
    </row>
    <row r="174" spans="1:66" s="2" customFormat="1" ht="21" thickTop="1" thickBot="1" x14ac:dyDescent="0.3">
      <c r="A174" s="144">
        <v>56</v>
      </c>
      <c r="B174" s="138"/>
      <c r="C174" s="91" t="s">
        <v>11</v>
      </c>
      <c r="D174" s="166"/>
      <c r="E174" s="166"/>
      <c r="F174" s="168"/>
      <c r="G174" s="170"/>
      <c r="H174" s="172"/>
      <c r="I174" s="172"/>
      <c r="J174" s="168"/>
      <c r="K174" s="168"/>
      <c r="L174" s="168"/>
      <c r="M174" s="168"/>
      <c r="N174" s="170"/>
      <c r="O174" s="172"/>
      <c r="P174" s="172"/>
      <c r="Q174" s="168"/>
      <c r="R174" s="168"/>
      <c r="S174" s="168"/>
      <c r="T174" s="174"/>
      <c r="U174" s="170"/>
      <c r="V174" s="172"/>
      <c r="W174" s="172"/>
      <c r="X174" s="168"/>
      <c r="Y174" s="168"/>
      <c r="Z174" s="170"/>
      <c r="AA174" s="170"/>
      <c r="AB174" s="168"/>
      <c r="AC174" s="172"/>
      <c r="AD174" s="172"/>
      <c r="AE174" s="172"/>
      <c r="AF174" s="172"/>
      <c r="AG174" s="168"/>
      <c r="AH174" s="176"/>
      <c r="AI174" s="159">
        <f t="shared" ref="AI174" si="109">SUM(D174:AH174)</f>
        <v>0</v>
      </c>
      <c r="AJ174" s="87"/>
      <c r="AK174" s="18"/>
      <c r="AL174" s="26"/>
      <c r="AM174" s="100">
        <f>SUMIF(D176:AH176, "CO", D174:AH174) + SUMIF(D176:AH176, "CO", D175:AH175)</f>
        <v>0</v>
      </c>
      <c r="AN174" s="61">
        <f ca="1">SUM(AI174:CA174)</f>
        <v>0</v>
      </c>
      <c r="AO174" s="27"/>
      <c r="AP174" s="77"/>
      <c r="AQ174" s="127"/>
      <c r="AR174" s="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3"/>
      <c r="BC174" s="113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115"/>
      <c r="BN174" s="115"/>
    </row>
    <row r="175" spans="1:66" s="2" customFormat="1" ht="22" thickBot="1" x14ac:dyDescent="0.3">
      <c r="A175" s="142"/>
      <c r="B175" s="139"/>
      <c r="C175" s="3" t="s">
        <v>12</v>
      </c>
      <c r="D175" s="167"/>
      <c r="E175" s="167"/>
      <c r="F175" s="169"/>
      <c r="G175" s="171"/>
      <c r="H175" s="173"/>
      <c r="I175" s="173"/>
      <c r="J175" s="169"/>
      <c r="K175" s="169"/>
      <c r="L175" s="169"/>
      <c r="M175" s="169"/>
      <c r="N175" s="171"/>
      <c r="O175" s="173"/>
      <c r="P175" s="173"/>
      <c r="Q175" s="169"/>
      <c r="R175" s="169"/>
      <c r="S175" s="169"/>
      <c r="T175" s="175"/>
      <c r="U175" s="171"/>
      <c r="V175" s="173"/>
      <c r="W175" s="173"/>
      <c r="X175" s="169"/>
      <c r="Y175" s="169"/>
      <c r="Z175" s="171"/>
      <c r="AA175" s="171"/>
      <c r="AB175" s="169"/>
      <c r="AC175" s="173"/>
      <c r="AD175" s="173"/>
      <c r="AE175" s="173"/>
      <c r="AF175" s="173"/>
      <c r="AG175" s="169"/>
      <c r="AH175" s="177"/>
      <c r="AI175" s="160"/>
      <c r="AJ175" s="11"/>
      <c r="AK175" s="7"/>
      <c r="AL175" s="7"/>
      <c r="AM175" s="11"/>
      <c r="AN175" s="59"/>
      <c r="AO175" s="5"/>
      <c r="AP175" s="78"/>
      <c r="AQ175" s="127"/>
      <c r="AR175" s="5"/>
      <c r="AS175" s="115"/>
      <c r="AT175" s="115"/>
      <c r="AU175" s="115"/>
      <c r="AV175" s="115"/>
      <c r="AW175" s="115"/>
      <c r="AX175" s="115"/>
      <c r="AY175" s="115"/>
      <c r="AZ175" s="115"/>
      <c r="BA175" s="115"/>
      <c r="BB175" s="113"/>
      <c r="BC175" s="113"/>
      <c r="BD175" s="115"/>
      <c r="BE175" s="115"/>
      <c r="BF175" s="115"/>
      <c r="BG175" s="115"/>
      <c r="BH175" s="115"/>
      <c r="BI175" s="115"/>
      <c r="BJ175" s="115"/>
      <c r="BK175" s="115"/>
      <c r="BL175" s="115"/>
      <c r="BM175" s="115"/>
      <c r="BN175" s="115"/>
    </row>
    <row r="176" spans="1:66" s="2" customFormat="1" ht="20" thickBot="1" x14ac:dyDescent="0.3">
      <c r="A176" s="178"/>
      <c r="B176" s="140"/>
      <c r="C176" s="92" t="s">
        <v>4</v>
      </c>
      <c r="D176" s="88"/>
      <c r="E176" s="88"/>
      <c r="F176" s="88"/>
      <c r="G176" s="89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90"/>
      <c r="AI176" s="36"/>
      <c r="AJ176" s="34"/>
      <c r="AK176" s="28"/>
      <c r="AL176" s="28"/>
      <c r="AM176" s="34"/>
      <c r="AN176" s="60"/>
      <c r="AO176" s="30"/>
      <c r="AP176" s="74"/>
      <c r="AQ176" s="127"/>
      <c r="AR176" s="5"/>
      <c r="AS176" s="115"/>
      <c r="AT176" s="115"/>
      <c r="AU176" s="115"/>
      <c r="AV176" s="115"/>
      <c r="AW176" s="115"/>
      <c r="AX176" s="115"/>
      <c r="AY176" s="115"/>
      <c r="AZ176" s="115"/>
      <c r="BA176" s="115"/>
      <c r="BB176" s="113"/>
      <c r="BC176" s="113"/>
      <c r="BD176" s="115"/>
      <c r="BE176" s="115"/>
      <c r="BF176" s="115"/>
      <c r="BG176" s="115"/>
      <c r="BH176" s="115"/>
      <c r="BI176" s="115"/>
      <c r="BJ176" s="115"/>
      <c r="BK176" s="115"/>
      <c r="BL176" s="115"/>
      <c r="BM176" s="115"/>
      <c r="BN176" s="115"/>
    </row>
    <row r="177" spans="1:66" s="2" customFormat="1" ht="21" thickTop="1" thickBot="1" x14ac:dyDescent="0.3">
      <c r="A177" s="188">
        <v>57</v>
      </c>
      <c r="B177" s="138"/>
      <c r="C177" s="91" t="s">
        <v>11</v>
      </c>
      <c r="D177" s="166"/>
      <c r="E177" s="166"/>
      <c r="F177" s="168"/>
      <c r="G177" s="170"/>
      <c r="H177" s="172"/>
      <c r="I177" s="172"/>
      <c r="J177" s="168"/>
      <c r="K177" s="168"/>
      <c r="L177" s="168"/>
      <c r="M177" s="168"/>
      <c r="N177" s="170"/>
      <c r="O177" s="172"/>
      <c r="P177" s="172"/>
      <c r="Q177" s="168"/>
      <c r="R177" s="168"/>
      <c r="S177" s="168"/>
      <c r="T177" s="174"/>
      <c r="U177" s="170"/>
      <c r="V177" s="172"/>
      <c r="W177" s="172"/>
      <c r="X177" s="168"/>
      <c r="Y177" s="168"/>
      <c r="Z177" s="170"/>
      <c r="AA177" s="170"/>
      <c r="AB177" s="168"/>
      <c r="AC177" s="172"/>
      <c r="AD177" s="172"/>
      <c r="AE177" s="172"/>
      <c r="AF177" s="172"/>
      <c r="AG177" s="168"/>
      <c r="AH177" s="176"/>
      <c r="AI177" s="159">
        <f t="shared" ref="AI177" si="110">SUM(D177:AH177)</f>
        <v>0</v>
      </c>
      <c r="AJ177" s="86"/>
      <c r="AK177" s="18"/>
      <c r="AL177" s="26"/>
      <c r="AM177" s="99">
        <f>SUMIF(D179:AH179, "CO", D177:AH177) + SUMIF(D179:AH179, "CO", D178:AH178)</f>
        <v>0</v>
      </c>
      <c r="AN177" s="61">
        <f ca="1">SUM(AI177:CA177)</f>
        <v>0</v>
      </c>
      <c r="AO177" s="27"/>
      <c r="AP177" s="77"/>
      <c r="AQ177" s="127"/>
      <c r="AR177" s="5"/>
      <c r="AS177" s="115"/>
      <c r="AT177" s="115"/>
      <c r="AU177" s="115"/>
      <c r="AV177" s="115"/>
      <c r="AW177" s="115"/>
      <c r="AX177" s="115"/>
      <c r="AY177" s="115"/>
      <c r="AZ177" s="115"/>
      <c r="BA177" s="115"/>
      <c r="BB177" s="113"/>
      <c r="BC177" s="113"/>
      <c r="BD177" s="115"/>
      <c r="BE177" s="115"/>
      <c r="BF177" s="115"/>
      <c r="BG177" s="115"/>
      <c r="BH177" s="115"/>
      <c r="BI177" s="115"/>
      <c r="BJ177" s="115"/>
      <c r="BK177" s="115"/>
      <c r="BL177" s="115"/>
      <c r="BM177" s="115"/>
      <c r="BN177" s="115"/>
    </row>
    <row r="178" spans="1:66" s="2" customFormat="1" ht="22" thickBot="1" x14ac:dyDescent="0.3">
      <c r="A178" s="142"/>
      <c r="B178" s="139"/>
      <c r="C178" s="3" t="s">
        <v>12</v>
      </c>
      <c r="D178" s="167"/>
      <c r="E178" s="167"/>
      <c r="F178" s="169"/>
      <c r="G178" s="171"/>
      <c r="H178" s="173"/>
      <c r="I178" s="173"/>
      <c r="J178" s="169"/>
      <c r="K178" s="169"/>
      <c r="L178" s="169"/>
      <c r="M178" s="169"/>
      <c r="N178" s="171"/>
      <c r="O178" s="173"/>
      <c r="P178" s="173"/>
      <c r="Q178" s="169"/>
      <c r="R178" s="169"/>
      <c r="S178" s="169"/>
      <c r="T178" s="175"/>
      <c r="U178" s="171"/>
      <c r="V178" s="173"/>
      <c r="W178" s="173"/>
      <c r="X178" s="169"/>
      <c r="Y178" s="169"/>
      <c r="Z178" s="171"/>
      <c r="AA178" s="171"/>
      <c r="AB178" s="169"/>
      <c r="AC178" s="173"/>
      <c r="AD178" s="173"/>
      <c r="AE178" s="173"/>
      <c r="AF178" s="173"/>
      <c r="AG178" s="169"/>
      <c r="AH178" s="177"/>
      <c r="AI178" s="160"/>
      <c r="AJ178" s="11"/>
      <c r="AK178" s="7"/>
      <c r="AL178" s="7"/>
      <c r="AM178" s="11"/>
      <c r="AN178" s="59"/>
      <c r="AO178" s="5"/>
      <c r="AP178" s="78"/>
      <c r="AQ178" s="127"/>
      <c r="AR178" s="5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113"/>
      <c r="BC178" s="113"/>
      <c r="BD178" s="115"/>
      <c r="BE178" s="115"/>
      <c r="BF178" s="115"/>
      <c r="BG178" s="115"/>
      <c r="BH178" s="115"/>
      <c r="BI178" s="115"/>
      <c r="BJ178" s="115"/>
      <c r="BK178" s="115"/>
      <c r="BL178" s="115"/>
      <c r="BM178" s="115"/>
      <c r="BN178" s="115"/>
    </row>
    <row r="179" spans="1:66" s="2" customFormat="1" ht="20" thickBot="1" x14ac:dyDescent="0.3">
      <c r="A179" s="178"/>
      <c r="B179" s="140"/>
      <c r="C179" s="92" t="s">
        <v>4</v>
      </c>
      <c r="D179" s="88"/>
      <c r="E179" s="88"/>
      <c r="F179" s="88"/>
      <c r="G179" s="89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90"/>
      <c r="AI179" s="36"/>
      <c r="AJ179" s="34"/>
      <c r="AK179" s="47"/>
      <c r="AL179" s="47"/>
      <c r="AM179" s="34"/>
      <c r="AN179" s="62"/>
      <c r="AO179" s="48"/>
      <c r="AP179" s="79"/>
      <c r="AQ179" s="128"/>
      <c r="AR179" s="5"/>
      <c r="AS179" s="115"/>
      <c r="AT179" s="115"/>
      <c r="AU179" s="115"/>
      <c r="AV179" s="115"/>
      <c r="AW179" s="115"/>
      <c r="AX179" s="115"/>
      <c r="AY179" s="115"/>
      <c r="AZ179" s="115"/>
      <c r="BA179" s="115"/>
      <c r="BB179" s="113"/>
      <c r="BC179" s="113"/>
      <c r="BD179" s="115"/>
      <c r="BE179" s="115"/>
      <c r="BF179" s="115"/>
      <c r="BG179" s="115"/>
      <c r="BH179" s="115"/>
      <c r="BI179" s="115"/>
      <c r="BJ179" s="115"/>
      <c r="BK179" s="115"/>
      <c r="BL179" s="115"/>
      <c r="BM179" s="115"/>
      <c r="BN179" s="115"/>
    </row>
    <row r="180" spans="1:66" s="2" customFormat="1" ht="20" thickTop="1" x14ac:dyDescent="0.25">
      <c r="A180" s="188">
        <v>58</v>
      </c>
      <c r="B180" s="138"/>
      <c r="C180" s="91" t="s">
        <v>11</v>
      </c>
      <c r="D180" s="166"/>
      <c r="E180" s="166"/>
      <c r="F180" s="168"/>
      <c r="G180" s="170"/>
      <c r="H180" s="172"/>
      <c r="I180" s="172"/>
      <c r="J180" s="168"/>
      <c r="K180" s="168"/>
      <c r="L180" s="168"/>
      <c r="M180" s="168"/>
      <c r="N180" s="170"/>
      <c r="O180" s="172"/>
      <c r="P180" s="172"/>
      <c r="Q180" s="168"/>
      <c r="R180" s="168"/>
      <c r="S180" s="168"/>
      <c r="T180" s="174"/>
      <c r="U180" s="170"/>
      <c r="V180" s="172"/>
      <c r="W180" s="172"/>
      <c r="X180" s="168"/>
      <c r="Y180" s="168"/>
      <c r="Z180" s="170"/>
      <c r="AA180" s="170"/>
      <c r="AB180" s="168"/>
      <c r="AC180" s="172"/>
      <c r="AD180" s="172"/>
      <c r="AE180" s="172"/>
      <c r="AF180" s="172"/>
      <c r="AG180" s="168"/>
      <c r="AH180" s="176"/>
      <c r="AI180" s="159">
        <f t="shared" ref="AI180" si="111">SUM(D180:AH180)</f>
        <v>0</v>
      </c>
      <c r="AJ180" s="87"/>
      <c r="AK180" s="7"/>
      <c r="AL180" s="7"/>
      <c r="AM180" s="100">
        <f>SUMIF(D182:AH182, "CO", D180:AH180) + SUMIF(D182:AH182, "CO", D181:AH181)</f>
        <v>0</v>
      </c>
      <c r="AN180" s="59">
        <f ca="1">SUM(AI180:CA180)</f>
        <v>0</v>
      </c>
      <c r="AO180" s="5"/>
      <c r="AP180" s="73"/>
      <c r="AQ180" s="129"/>
      <c r="AR180" s="5"/>
      <c r="AS180" s="115"/>
      <c r="AT180" s="115"/>
      <c r="AU180" s="115"/>
      <c r="AV180" s="115"/>
      <c r="AW180" s="115"/>
      <c r="AX180" s="115"/>
      <c r="AY180" s="115"/>
      <c r="AZ180" s="115"/>
      <c r="BA180" s="115"/>
      <c r="BB180" s="113"/>
      <c r="BC180" s="113"/>
      <c r="BD180" s="115"/>
      <c r="BE180" s="115"/>
      <c r="BF180" s="115"/>
      <c r="BG180" s="115"/>
      <c r="BH180" s="115"/>
      <c r="BI180" s="115"/>
      <c r="BJ180" s="115"/>
      <c r="BK180" s="115"/>
      <c r="BL180" s="115"/>
      <c r="BM180" s="115"/>
      <c r="BN180" s="115"/>
    </row>
    <row r="181" spans="1:66" s="2" customFormat="1" ht="21" x14ac:dyDescent="0.25">
      <c r="A181" s="142"/>
      <c r="B181" s="139"/>
      <c r="C181" s="3" t="s">
        <v>12</v>
      </c>
      <c r="D181" s="167"/>
      <c r="E181" s="167"/>
      <c r="F181" s="169"/>
      <c r="G181" s="171"/>
      <c r="H181" s="173"/>
      <c r="I181" s="173"/>
      <c r="J181" s="169"/>
      <c r="K181" s="169"/>
      <c r="L181" s="169"/>
      <c r="M181" s="169"/>
      <c r="N181" s="171"/>
      <c r="O181" s="173"/>
      <c r="P181" s="173"/>
      <c r="Q181" s="169"/>
      <c r="R181" s="169"/>
      <c r="S181" s="169"/>
      <c r="T181" s="175"/>
      <c r="U181" s="171"/>
      <c r="V181" s="173"/>
      <c r="W181" s="173"/>
      <c r="X181" s="169"/>
      <c r="Y181" s="169"/>
      <c r="Z181" s="171"/>
      <c r="AA181" s="171"/>
      <c r="AB181" s="169"/>
      <c r="AC181" s="173"/>
      <c r="AD181" s="173"/>
      <c r="AE181" s="173"/>
      <c r="AF181" s="173"/>
      <c r="AG181" s="169"/>
      <c r="AH181" s="177"/>
      <c r="AI181" s="160"/>
      <c r="AJ181" s="11"/>
      <c r="AK181" s="7"/>
      <c r="AL181" s="7"/>
      <c r="AM181" s="11"/>
      <c r="AN181" s="59"/>
      <c r="AO181" s="5"/>
      <c r="AP181" s="78"/>
      <c r="AQ181" s="129"/>
      <c r="AR181" s="5"/>
      <c r="AS181" s="115"/>
      <c r="AT181" s="115"/>
      <c r="AU181" s="115"/>
      <c r="AV181" s="115"/>
      <c r="AW181" s="115"/>
      <c r="AX181" s="115"/>
      <c r="AY181" s="115"/>
      <c r="AZ181" s="115"/>
      <c r="BA181" s="115"/>
      <c r="BB181" s="113"/>
      <c r="BC181" s="113"/>
      <c r="BD181" s="115"/>
      <c r="BE181" s="115"/>
      <c r="BF181" s="115"/>
      <c r="BG181" s="115"/>
      <c r="BH181" s="115"/>
      <c r="BI181" s="115"/>
      <c r="BJ181" s="115"/>
      <c r="BK181" s="115"/>
      <c r="BL181" s="115"/>
      <c r="BM181" s="115"/>
      <c r="BN181" s="115"/>
    </row>
    <row r="182" spans="1:66" s="2" customFormat="1" ht="22" thickBot="1" x14ac:dyDescent="0.3">
      <c r="A182" s="178"/>
      <c r="B182" s="140"/>
      <c r="C182" s="92" t="s">
        <v>4</v>
      </c>
      <c r="D182" s="88"/>
      <c r="E182" s="88"/>
      <c r="F182" s="88"/>
      <c r="G182" s="89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90"/>
      <c r="AI182" s="36"/>
      <c r="AJ182" s="34"/>
      <c r="AK182" s="7"/>
      <c r="AL182" s="7"/>
      <c r="AM182" s="34"/>
      <c r="AN182" s="59"/>
      <c r="AO182" s="5"/>
      <c r="AP182" s="78"/>
      <c r="AQ182" s="129"/>
      <c r="AR182" s="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13"/>
      <c r="BC182" s="113"/>
      <c r="BD182" s="115"/>
      <c r="BE182" s="115"/>
      <c r="BF182" s="115"/>
      <c r="BG182" s="115"/>
      <c r="BH182" s="115"/>
      <c r="BI182" s="115"/>
      <c r="BJ182" s="115"/>
      <c r="BK182" s="115"/>
      <c r="BL182" s="115"/>
      <c r="BM182" s="115"/>
      <c r="BN182" s="115"/>
    </row>
    <row r="183" spans="1:66" s="2" customFormat="1" ht="20" thickTop="1" x14ac:dyDescent="0.25">
      <c r="A183" s="144">
        <v>59</v>
      </c>
      <c r="B183" s="138"/>
      <c r="C183" s="91" t="s">
        <v>11</v>
      </c>
      <c r="D183" s="166"/>
      <c r="E183" s="166"/>
      <c r="F183" s="168"/>
      <c r="G183" s="170"/>
      <c r="H183" s="172"/>
      <c r="I183" s="172"/>
      <c r="J183" s="168"/>
      <c r="K183" s="168"/>
      <c r="L183" s="168"/>
      <c r="M183" s="168"/>
      <c r="N183" s="170"/>
      <c r="O183" s="172"/>
      <c r="P183" s="172"/>
      <c r="Q183" s="168"/>
      <c r="R183" s="168"/>
      <c r="S183" s="168"/>
      <c r="T183" s="174"/>
      <c r="U183" s="170"/>
      <c r="V183" s="172"/>
      <c r="W183" s="172"/>
      <c r="X183" s="168"/>
      <c r="Y183" s="168"/>
      <c r="Z183" s="170"/>
      <c r="AA183" s="170"/>
      <c r="AB183" s="168"/>
      <c r="AC183" s="172"/>
      <c r="AD183" s="172"/>
      <c r="AE183" s="172"/>
      <c r="AF183" s="172"/>
      <c r="AG183" s="168"/>
      <c r="AH183" s="176"/>
      <c r="AI183" s="159">
        <f t="shared" ref="AI183" si="112">SUM(D183:AH183)</f>
        <v>0</v>
      </c>
      <c r="AJ183" s="86"/>
      <c r="AK183" s="7"/>
      <c r="AL183" s="7"/>
      <c r="AM183" s="99">
        <f>SUMIF(D185:AH185, "CO", D183:AH183) + SUMIF(D185:AH185, "CO", D184:AH184)</f>
        <v>0</v>
      </c>
      <c r="AN183" s="59">
        <f ca="1">SUM(AI183:CA183)</f>
        <v>0</v>
      </c>
      <c r="AO183" s="5"/>
      <c r="AP183" s="73"/>
      <c r="AQ183" s="129"/>
      <c r="AR183" s="5"/>
      <c r="AS183" s="115"/>
      <c r="AT183" s="115"/>
      <c r="AU183" s="115"/>
      <c r="AV183" s="115"/>
      <c r="AW183" s="115"/>
      <c r="AX183" s="115"/>
      <c r="AY183" s="115"/>
      <c r="AZ183" s="115"/>
      <c r="BA183" s="115"/>
      <c r="BB183" s="113"/>
      <c r="BC183" s="113"/>
      <c r="BD183" s="115"/>
      <c r="BE183" s="115"/>
      <c r="BF183" s="115"/>
      <c r="BG183" s="115"/>
      <c r="BH183" s="115"/>
      <c r="BI183" s="115"/>
      <c r="BJ183" s="115"/>
      <c r="BK183" s="115"/>
      <c r="BL183" s="115"/>
      <c r="BM183" s="115"/>
      <c r="BN183" s="115"/>
    </row>
    <row r="184" spans="1:66" s="2" customFormat="1" ht="21" x14ac:dyDescent="0.25">
      <c r="A184" s="142"/>
      <c r="B184" s="139"/>
      <c r="C184" s="3" t="s">
        <v>12</v>
      </c>
      <c r="D184" s="167"/>
      <c r="E184" s="167"/>
      <c r="F184" s="169"/>
      <c r="G184" s="171"/>
      <c r="H184" s="173"/>
      <c r="I184" s="173"/>
      <c r="J184" s="169"/>
      <c r="K184" s="169"/>
      <c r="L184" s="169"/>
      <c r="M184" s="169"/>
      <c r="N184" s="171"/>
      <c r="O184" s="173"/>
      <c r="P184" s="173"/>
      <c r="Q184" s="169"/>
      <c r="R184" s="169"/>
      <c r="S184" s="169"/>
      <c r="T184" s="175"/>
      <c r="U184" s="171"/>
      <c r="V184" s="173"/>
      <c r="W184" s="173"/>
      <c r="X184" s="169"/>
      <c r="Y184" s="169"/>
      <c r="Z184" s="171"/>
      <c r="AA184" s="171"/>
      <c r="AB184" s="169"/>
      <c r="AC184" s="173"/>
      <c r="AD184" s="173"/>
      <c r="AE184" s="173"/>
      <c r="AF184" s="173"/>
      <c r="AG184" s="169"/>
      <c r="AH184" s="177"/>
      <c r="AI184" s="160"/>
      <c r="AJ184" s="11"/>
      <c r="AK184" s="7"/>
      <c r="AL184" s="7"/>
      <c r="AM184" s="11"/>
      <c r="AN184" s="59"/>
      <c r="AO184" s="5"/>
      <c r="AP184" s="78"/>
      <c r="AQ184" s="129"/>
      <c r="AR184" s="5"/>
      <c r="AS184" s="115"/>
      <c r="AT184" s="115"/>
      <c r="AU184" s="115"/>
      <c r="AV184" s="115"/>
      <c r="AW184" s="115"/>
      <c r="AX184" s="115"/>
      <c r="AY184" s="115"/>
      <c r="AZ184" s="115"/>
      <c r="BA184" s="115"/>
      <c r="BB184" s="113"/>
      <c r="BC184" s="113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115"/>
      <c r="BN184" s="115"/>
    </row>
    <row r="185" spans="1:66" s="2" customFormat="1" ht="22" thickBot="1" x14ac:dyDescent="0.3">
      <c r="A185" s="178"/>
      <c r="B185" s="140"/>
      <c r="C185" s="92" t="s">
        <v>4</v>
      </c>
      <c r="D185" s="88"/>
      <c r="E185" s="88"/>
      <c r="F185" s="88"/>
      <c r="G185" s="89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90"/>
      <c r="AI185" s="36"/>
      <c r="AJ185" s="34"/>
      <c r="AK185" s="7"/>
      <c r="AL185" s="7"/>
      <c r="AM185" s="34"/>
      <c r="AN185" s="59"/>
      <c r="AO185" s="5"/>
      <c r="AP185" s="78"/>
      <c r="AQ185" s="129"/>
      <c r="AR185" s="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113"/>
      <c r="BC185" s="113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115"/>
      <c r="BN185" s="115"/>
    </row>
    <row r="186" spans="1:66" s="2" customFormat="1" ht="20" thickTop="1" x14ac:dyDescent="0.25">
      <c r="A186" s="188">
        <v>60</v>
      </c>
      <c r="B186" s="179"/>
      <c r="C186" s="93" t="s">
        <v>11</v>
      </c>
      <c r="D186" s="182"/>
      <c r="E186" s="182"/>
      <c r="F186" s="184"/>
      <c r="G186" s="186"/>
      <c r="H186" s="184"/>
      <c r="I186" s="184"/>
      <c r="J186" s="184"/>
      <c r="K186" s="184"/>
      <c r="L186" s="184"/>
      <c r="M186" s="184"/>
      <c r="N186" s="186"/>
      <c r="O186" s="184"/>
      <c r="P186" s="184"/>
      <c r="Q186" s="184"/>
      <c r="R186" s="184"/>
      <c r="S186" s="184"/>
      <c r="T186" s="186"/>
      <c r="U186" s="186"/>
      <c r="V186" s="184"/>
      <c r="W186" s="184"/>
      <c r="X186" s="184"/>
      <c r="Y186" s="184"/>
      <c r="Z186" s="186"/>
      <c r="AA186" s="186"/>
      <c r="AB186" s="184"/>
      <c r="AC186" s="184"/>
      <c r="AD186" s="184"/>
      <c r="AE186" s="184"/>
      <c r="AF186" s="184"/>
      <c r="AG186" s="184"/>
      <c r="AH186" s="190"/>
      <c r="AI186" s="159">
        <f t="shared" ref="AI186" si="113">SUM(D186:AH186)</f>
        <v>0</v>
      </c>
      <c r="AJ186" s="87"/>
      <c r="AK186" s="7"/>
      <c r="AL186" s="7"/>
      <c r="AM186" s="100">
        <f>SUMIF(D188:AH188, "CO", D186:AH186) + SUMIF(D188:AH188, "CO", D187:AH187)</f>
        <v>0</v>
      </c>
      <c r="AN186" s="59">
        <f ca="1">SUM(AI186:CA186)</f>
        <v>0</v>
      </c>
      <c r="AO186" s="5"/>
      <c r="AP186" s="73"/>
      <c r="AQ186" s="129"/>
      <c r="AR186" s="5"/>
      <c r="AS186" s="115"/>
      <c r="AT186" s="115"/>
      <c r="AU186" s="115"/>
      <c r="AV186" s="115"/>
      <c r="AW186" s="115"/>
      <c r="AX186" s="115"/>
      <c r="AY186" s="115"/>
      <c r="AZ186" s="115"/>
      <c r="BA186" s="115"/>
      <c r="BB186" s="113"/>
      <c r="BC186" s="113"/>
      <c r="BD186" s="115"/>
      <c r="BE186" s="115"/>
      <c r="BF186" s="115"/>
      <c r="BG186" s="115"/>
      <c r="BH186" s="115"/>
      <c r="BI186" s="115"/>
      <c r="BJ186" s="115"/>
      <c r="BK186" s="115"/>
      <c r="BL186" s="115"/>
      <c r="BM186" s="115"/>
      <c r="BN186" s="115"/>
    </row>
    <row r="187" spans="1:66" s="2" customFormat="1" ht="21" x14ac:dyDescent="0.25">
      <c r="A187" s="142"/>
      <c r="B187" s="180"/>
      <c r="C187" s="94" t="s">
        <v>12</v>
      </c>
      <c r="D187" s="183"/>
      <c r="E187" s="183"/>
      <c r="F187" s="185"/>
      <c r="G187" s="187"/>
      <c r="H187" s="185"/>
      <c r="I187" s="185"/>
      <c r="J187" s="185"/>
      <c r="K187" s="185"/>
      <c r="L187" s="185"/>
      <c r="M187" s="185"/>
      <c r="N187" s="187"/>
      <c r="O187" s="185"/>
      <c r="P187" s="185"/>
      <c r="Q187" s="185"/>
      <c r="R187" s="185"/>
      <c r="S187" s="185"/>
      <c r="T187" s="187"/>
      <c r="U187" s="187"/>
      <c r="V187" s="185"/>
      <c r="W187" s="185"/>
      <c r="X187" s="185"/>
      <c r="Y187" s="185"/>
      <c r="Z187" s="187"/>
      <c r="AA187" s="187"/>
      <c r="AB187" s="185"/>
      <c r="AC187" s="185"/>
      <c r="AD187" s="185"/>
      <c r="AE187" s="185"/>
      <c r="AF187" s="185"/>
      <c r="AG187" s="185"/>
      <c r="AH187" s="191"/>
      <c r="AI187" s="160"/>
      <c r="AJ187" s="11"/>
      <c r="AK187" s="7"/>
      <c r="AL187" s="7"/>
      <c r="AM187" s="11"/>
      <c r="AN187" s="59"/>
      <c r="AO187" s="5"/>
      <c r="AP187" s="78"/>
      <c r="AQ187" s="129"/>
      <c r="AR187" s="5"/>
      <c r="AS187" s="115"/>
      <c r="AT187" s="115"/>
      <c r="AU187" s="115"/>
      <c r="AV187" s="115"/>
      <c r="AW187" s="115"/>
      <c r="AX187" s="115"/>
      <c r="AY187" s="115"/>
      <c r="AZ187" s="115"/>
      <c r="BA187" s="115"/>
      <c r="BB187" s="113"/>
      <c r="BC187" s="113"/>
      <c r="BD187" s="115"/>
      <c r="BE187" s="115"/>
      <c r="BF187" s="115"/>
      <c r="BG187" s="115"/>
      <c r="BH187" s="115"/>
      <c r="BI187" s="115"/>
      <c r="BJ187" s="115"/>
      <c r="BK187" s="115"/>
      <c r="BL187" s="115"/>
      <c r="BM187" s="115"/>
      <c r="BN187" s="115"/>
    </row>
    <row r="188" spans="1:66" s="2" customFormat="1" ht="22" thickBot="1" x14ac:dyDescent="0.3">
      <c r="A188" s="178"/>
      <c r="B188" s="181"/>
      <c r="C188" s="92" t="s">
        <v>4</v>
      </c>
      <c r="D188" s="95"/>
      <c r="E188" s="95"/>
      <c r="F188" s="95"/>
      <c r="G188" s="96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7"/>
      <c r="AI188" s="36"/>
      <c r="AJ188" s="34"/>
      <c r="AK188" s="7"/>
      <c r="AL188" s="7"/>
      <c r="AM188" s="34"/>
      <c r="AN188" s="59"/>
      <c r="AO188" s="5"/>
      <c r="AP188" s="78"/>
      <c r="AQ188" s="129"/>
      <c r="AR188" s="5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113"/>
      <c r="BC188" s="113"/>
      <c r="BD188" s="115"/>
      <c r="BE188" s="115"/>
      <c r="BF188" s="115"/>
      <c r="BG188" s="115"/>
      <c r="BH188" s="115"/>
      <c r="BI188" s="115"/>
      <c r="BJ188" s="115"/>
      <c r="BK188" s="115"/>
      <c r="BL188" s="115"/>
      <c r="BM188" s="115"/>
      <c r="BN188" s="115"/>
    </row>
    <row r="189" spans="1:66" s="2" customFormat="1" ht="20" thickTop="1" x14ac:dyDescent="0.25">
      <c r="A189" s="188">
        <v>61</v>
      </c>
      <c r="B189" s="189"/>
      <c r="C189" s="98" t="s">
        <v>11</v>
      </c>
      <c r="D189" s="182"/>
      <c r="E189" s="182"/>
      <c r="F189" s="184"/>
      <c r="G189" s="186"/>
      <c r="H189" s="184"/>
      <c r="I189" s="184"/>
      <c r="J189" s="184"/>
      <c r="K189" s="184"/>
      <c r="L189" s="184"/>
      <c r="M189" s="184"/>
      <c r="N189" s="186"/>
      <c r="O189" s="184"/>
      <c r="P189" s="184"/>
      <c r="Q189" s="184"/>
      <c r="R189" s="184"/>
      <c r="S189" s="184"/>
      <c r="T189" s="186"/>
      <c r="U189" s="186"/>
      <c r="V189" s="184"/>
      <c r="W189" s="184"/>
      <c r="X189" s="184"/>
      <c r="Y189" s="184"/>
      <c r="Z189" s="186"/>
      <c r="AA189" s="186"/>
      <c r="AB189" s="184"/>
      <c r="AC189" s="184"/>
      <c r="AD189" s="184"/>
      <c r="AE189" s="184"/>
      <c r="AF189" s="184"/>
      <c r="AG189" s="184"/>
      <c r="AH189" s="190"/>
      <c r="AI189" s="159">
        <f t="shared" ref="AI189" si="114">SUM(D189:AH189)</f>
        <v>0</v>
      </c>
      <c r="AJ189" s="86"/>
      <c r="AK189" s="7"/>
      <c r="AL189" s="7"/>
      <c r="AM189" s="99">
        <f>SUMIF(D191:AH191, "CO", D189:AH189) + SUMIF(D191:AH191, "CO", D190:AH190)</f>
        <v>0</v>
      </c>
      <c r="AN189" s="59">
        <f ca="1">SUM(AI189:CA189)</f>
        <v>0</v>
      </c>
      <c r="AO189" s="5"/>
      <c r="AP189" s="73"/>
      <c r="AQ189" s="129"/>
      <c r="AR189" s="5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113"/>
      <c r="BC189" s="113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115"/>
      <c r="BN189" s="115"/>
    </row>
    <row r="190" spans="1:66" s="2" customFormat="1" ht="21" x14ac:dyDescent="0.25">
      <c r="A190" s="142"/>
      <c r="B190" s="180"/>
      <c r="C190" s="94" t="s">
        <v>12</v>
      </c>
      <c r="D190" s="183"/>
      <c r="E190" s="183"/>
      <c r="F190" s="185"/>
      <c r="G190" s="187"/>
      <c r="H190" s="185"/>
      <c r="I190" s="185"/>
      <c r="J190" s="185"/>
      <c r="K190" s="185"/>
      <c r="L190" s="185"/>
      <c r="M190" s="185"/>
      <c r="N190" s="187"/>
      <c r="O190" s="185"/>
      <c r="P190" s="185"/>
      <c r="Q190" s="185"/>
      <c r="R190" s="185"/>
      <c r="S190" s="185"/>
      <c r="T190" s="187"/>
      <c r="U190" s="187"/>
      <c r="V190" s="185"/>
      <c r="W190" s="185"/>
      <c r="X190" s="185"/>
      <c r="Y190" s="185"/>
      <c r="Z190" s="187"/>
      <c r="AA190" s="187"/>
      <c r="AB190" s="185"/>
      <c r="AC190" s="185"/>
      <c r="AD190" s="185"/>
      <c r="AE190" s="185"/>
      <c r="AF190" s="185"/>
      <c r="AG190" s="185"/>
      <c r="AH190" s="191"/>
      <c r="AI190" s="160"/>
      <c r="AJ190" s="11"/>
      <c r="AK190" s="7"/>
      <c r="AL190" s="7"/>
      <c r="AM190" s="11"/>
      <c r="AN190" s="59"/>
      <c r="AO190" s="5"/>
      <c r="AP190" s="78"/>
      <c r="AQ190" s="129"/>
      <c r="AR190" s="5"/>
      <c r="AS190" s="115"/>
      <c r="AT190" s="115"/>
      <c r="AU190" s="115"/>
      <c r="AV190" s="115"/>
      <c r="AW190" s="115"/>
      <c r="AX190" s="115"/>
      <c r="AY190" s="115"/>
      <c r="AZ190" s="115"/>
      <c r="BA190" s="115"/>
      <c r="BB190" s="113"/>
      <c r="BC190" s="113"/>
      <c r="BD190" s="115"/>
      <c r="BE190" s="115"/>
      <c r="BF190" s="115"/>
      <c r="BG190" s="115"/>
      <c r="BH190" s="115"/>
      <c r="BI190" s="115"/>
      <c r="BJ190" s="115"/>
      <c r="BK190" s="115"/>
      <c r="BL190" s="115"/>
      <c r="BM190" s="115"/>
      <c r="BN190" s="115"/>
    </row>
    <row r="191" spans="1:66" s="2" customFormat="1" ht="22" thickBot="1" x14ac:dyDescent="0.3">
      <c r="A191" s="178"/>
      <c r="B191" s="181"/>
      <c r="C191" s="92" t="s">
        <v>4</v>
      </c>
      <c r="D191" s="95"/>
      <c r="E191" s="95"/>
      <c r="F191" s="95"/>
      <c r="G191" s="96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7"/>
      <c r="AI191" s="36"/>
      <c r="AJ191" s="34"/>
      <c r="AK191" s="7"/>
      <c r="AL191" s="7"/>
      <c r="AM191" s="34"/>
      <c r="AN191" s="59"/>
      <c r="AO191" s="5"/>
      <c r="AP191" s="78"/>
      <c r="AQ191" s="129"/>
      <c r="AR191" s="5"/>
      <c r="AS191" s="115"/>
      <c r="AT191" s="115"/>
      <c r="AU191" s="115"/>
      <c r="AV191" s="115"/>
      <c r="AW191" s="115"/>
      <c r="AX191" s="115"/>
      <c r="AY191" s="115"/>
      <c r="AZ191" s="115"/>
      <c r="BA191" s="115"/>
      <c r="BB191" s="113"/>
      <c r="BC191" s="113"/>
      <c r="BD191" s="115"/>
      <c r="BE191" s="115"/>
      <c r="BF191" s="115"/>
      <c r="BG191" s="115"/>
      <c r="BH191" s="115"/>
      <c r="BI191" s="115"/>
      <c r="BJ191" s="115"/>
      <c r="BK191" s="115"/>
      <c r="BL191" s="115"/>
      <c r="BM191" s="115"/>
      <c r="BN191" s="115"/>
    </row>
    <row r="192" spans="1:66" s="2" customFormat="1" ht="20" thickTop="1" x14ac:dyDescent="0.25">
      <c r="A192" s="144">
        <v>62</v>
      </c>
      <c r="B192" s="189"/>
      <c r="C192" s="98" t="s">
        <v>11</v>
      </c>
      <c r="D192" s="182"/>
      <c r="E192" s="182"/>
      <c r="F192" s="184"/>
      <c r="G192" s="186"/>
      <c r="H192" s="184"/>
      <c r="I192" s="184"/>
      <c r="J192" s="184"/>
      <c r="K192" s="184"/>
      <c r="L192" s="184"/>
      <c r="M192" s="184"/>
      <c r="N192" s="186"/>
      <c r="O192" s="184"/>
      <c r="P192" s="184"/>
      <c r="Q192" s="184"/>
      <c r="R192" s="184"/>
      <c r="S192" s="184"/>
      <c r="T192" s="186"/>
      <c r="U192" s="186"/>
      <c r="V192" s="184"/>
      <c r="W192" s="184"/>
      <c r="X192" s="184"/>
      <c r="Y192" s="184"/>
      <c r="Z192" s="186"/>
      <c r="AA192" s="186"/>
      <c r="AB192" s="184"/>
      <c r="AC192" s="184"/>
      <c r="AD192" s="184"/>
      <c r="AE192" s="184"/>
      <c r="AF192" s="184"/>
      <c r="AG192" s="184"/>
      <c r="AH192" s="190"/>
      <c r="AI192" s="159">
        <f>SUM(D192:AH192)</f>
        <v>0</v>
      </c>
      <c r="AJ192" s="87"/>
      <c r="AK192" s="7"/>
      <c r="AL192" s="7"/>
      <c r="AM192" s="100">
        <f>SUMIF(D194:AH194, "CO", D192:AH192) + SUMIF(D194:AH194, "CO", D193:AH193)</f>
        <v>0</v>
      </c>
      <c r="AN192" s="59">
        <f ca="1">SUM(AI192:CA192)</f>
        <v>0</v>
      </c>
      <c r="AO192" s="5"/>
      <c r="AP192" s="73"/>
      <c r="AQ192" s="129"/>
      <c r="AR192" s="5"/>
      <c r="AS192" s="115"/>
      <c r="AT192" s="115"/>
      <c r="AU192" s="115"/>
      <c r="AV192" s="115"/>
      <c r="AW192" s="115"/>
      <c r="AX192" s="115"/>
      <c r="AY192" s="115"/>
      <c r="AZ192" s="115"/>
      <c r="BA192" s="115"/>
      <c r="BB192" s="113"/>
      <c r="BC192" s="113"/>
      <c r="BD192" s="115"/>
      <c r="BE192" s="115"/>
      <c r="BF192" s="115"/>
      <c r="BG192" s="115"/>
      <c r="BH192" s="115"/>
      <c r="BI192" s="115"/>
      <c r="BJ192" s="115"/>
      <c r="BK192" s="115"/>
      <c r="BL192" s="115"/>
      <c r="BM192" s="115"/>
      <c r="BN192" s="115"/>
    </row>
    <row r="193" spans="1:66" s="2" customFormat="1" ht="21" x14ac:dyDescent="0.25">
      <c r="A193" s="142"/>
      <c r="B193" s="180"/>
      <c r="C193" s="94" t="s">
        <v>12</v>
      </c>
      <c r="D193" s="183"/>
      <c r="E193" s="183"/>
      <c r="F193" s="185"/>
      <c r="G193" s="187"/>
      <c r="H193" s="185"/>
      <c r="I193" s="185"/>
      <c r="J193" s="185"/>
      <c r="K193" s="185"/>
      <c r="L193" s="185"/>
      <c r="M193" s="185"/>
      <c r="N193" s="187"/>
      <c r="O193" s="185"/>
      <c r="P193" s="185"/>
      <c r="Q193" s="185"/>
      <c r="R193" s="185"/>
      <c r="S193" s="185"/>
      <c r="T193" s="187"/>
      <c r="U193" s="187"/>
      <c r="V193" s="185"/>
      <c r="W193" s="185"/>
      <c r="X193" s="185"/>
      <c r="Y193" s="185"/>
      <c r="Z193" s="187"/>
      <c r="AA193" s="187"/>
      <c r="AB193" s="185"/>
      <c r="AC193" s="185"/>
      <c r="AD193" s="185"/>
      <c r="AE193" s="185"/>
      <c r="AF193" s="185"/>
      <c r="AG193" s="185"/>
      <c r="AH193" s="191"/>
      <c r="AI193" s="160"/>
      <c r="AJ193" s="11"/>
      <c r="AK193" s="7"/>
      <c r="AL193" s="7"/>
      <c r="AM193" s="11"/>
      <c r="AN193" s="59"/>
      <c r="AO193" s="5"/>
      <c r="AP193" s="78"/>
      <c r="AQ193" s="129"/>
      <c r="AR193" s="5"/>
      <c r="AS193" s="115"/>
      <c r="AT193" s="115"/>
      <c r="AU193" s="115"/>
      <c r="AV193" s="115"/>
      <c r="AW193" s="115"/>
      <c r="AX193" s="115"/>
      <c r="AY193" s="115"/>
      <c r="AZ193" s="115"/>
      <c r="BA193" s="115"/>
      <c r="BB193" s="113"/>
      <c r="BC193" s="113"/>
      <c r="BD193" s="115"/>
      <c r="BE193" s="115"/>
      <c r="BF193" s="115"/>
      <c r="BG193" s="115"/>
      <c r="BH193" s="115"/>
      <c r="BI193" s="115"/>
      <c r="BJ193" s="115"/>
      <c r="BK193" s="115"/>
      <c r="BL193" s="115"/>
      <c r="BM193" s="115"/>
      <c r="BN193" s="115"/>
    </row>
    <row r="194" spans="1:66" s="2" customFormat="1" ht="22" thickBot="1" x14ac:dyDescent="0.3">
      <c r="A194" s="178"/>
      <c r="B194" s="181"/>
      <c r="C194" s="92" t="s">
        <v>4</v>
      </c>
      <c r="D194" s="95"/>
      <c r="E194" s="95"/>
      <c r="F194" s="95"/>
      <c r="G194" s="96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7"/>
      <c r="AI194" s="36"/>
      <c r="AJ194" s="34"/>
      <c r="AK194" s="7"/>
      <c r="AL194" s="7"/>
      <c r="AM194" s="34"/>
      <c r="AN194" s="59"/>
      <c r="AO194" s="5"/>
      <c r="AP194" s="78"/>
      <c r="AQ194" s="129"/>
      <c r="AR194" s="5"/>
      <c r="AS194" s="115"/>
      <c r="AT194" s="115"/>
      <c r="AU194" s="115"/>
      <c r="AV194" s="115"/>
      <c r="AW194" s="115"/>
      <c r="AX194" s="115"/>
      <c r="AY194" s="115"/>
      <c r="AZ194" s="115"/>
      <c r="BA194" s="115"/>
      <c r="BB194" s="113"/>
      <c r="BC194" s="113"/>
      <c r="BD194" s="115"/>
      <c r="BE194" s="115"/>
      <c r="BF194" s="115"/>
      <c r="BG194" s="115"/>
      <c r="BH194" s="115"/>
      <c r="BI194" s="115"/>
      <c r="BJ194" s="115"/>
      <c r="BK194" s="115"/>
      <c r="BL194" s="115"/>
      <c r="BM194" s="115"/>
      <c r="BN194" s="115"/>
    </row>
    <row r="195" spans="1:66" s="2" customFormat="1" ht="21" thickTop="1" thickBot="1" x14ac:dyDescent="0.3">
      <c r="A195" s="188">
        <v>63</v>
      </c>
      <c r="B195" s="138"/>
      <c r="C195" s="91" t="s">
        <v>11</v>
      </c>
      <c r="D195" s="166"/>
      <c r="E195" s="166"/>
      <c r="F195" s="168"/>
      <c r="G195" s="170"/>
      <c r="H195" s="172"/>
      <c r="I195" s="172"/>
      <c r="J195" s="168"/>
      <c r="K195" s="168"/>
      <c r="L195" s="168"/>
      <c r="M195" s="168"/>
      <c r="N195" s="170"/>
      <c r="O195" s="172"/>
      <c r="P195" s="172"/>
      <c r="Q195" s="168"/>
      <c r="R195" s="168"/>
      <c r="S195" s="168"/>
      <c r="T195" s="174"/>
      <c r="U195" s="170"/>
      <c r="V195" s="172"/>
      <c r="W195" s="172"/>
      <c r="X195" s="168"/>
      <c r="Y195" s="168"/>
      <c r="Z195" s="170"/>
      <c r="AA195" s="170"/>
      <c r="AB195" s="168"/>
      <c r="AC195" s="172"/>
      <c r="AD195" s="172"/>
      <c r="AE195" s="172"/>
      <c r="AF195" s="172"/>
      <c r="AG195" s="168"/>
      <c r="AH195" s="176"/>
      <c r="AI195" s="193">
        <f>SUM(D195:AH195)</f>
        <v>0</v>
      </c>
      <c r="AJ195" s="86"/>
      <c r="AK195" s="31"/>
      <c r="AL195" s="31"/>
      <c r="AM195" s="99">
        <f>SUMIF(D197:AH197, "CO", D195:AH195) + SUMIF(D197:AH197, "CO", D196:AH196)</f>
        <v>0</v>
      </c>
      <c r="AN195" s="51">
        <f ca="1">SUM(AI195:CA195)</f>
        <v>0</v>
      </c>
      <c r="AO195" s="103"/>
      <c r="AP195" s="68"/>
      <c r="AQ195" s="127"/>
      <c r="AR195" s="40"/>
      <c r="AS195" s="115"/>
      <c r="AT195" s="115"/>
      <c r="AU195" s="115"/>
      <c r="AV195" s="115"/>
      <c r="AW195" s="115"/>
      <c r="AX195" s="115"/>
      <c r="AY195" s="115"/>
      <c r="AZ195" s="115"/>
      <c r="BA195" s="115"/>
      <c r="BB195" s="113"/>
      <c r="BC195" s="113"/>
      <c r="BD195" s="115"/>
      <c r="BE195" s="115"/>
      <c r="BF195" s="115"/>
      <c r="BG195" s="115"/>
      <c r="BH195" s="115"/>
      <c r="BI195" s="115"/>
      <c r="BJ195" s="115"/>
      <c r="BK195" s="115"/>
      <c r="BL195" s="115"/>
      <c r="BM195" s="115"/>
      <c r="BN195" s="115"/>
    </row>
    <row r="196" spans="1:66" s="2" customFormat="1" ht="20" thickBot="1" x14ac:dyDescent="0.3">
      <c r="A196" s="142"/>
      <c r="B196" s="139"/>
      <c r="C196" s="3" t="s">
        <v>12</v>
      </c>
      <c r="D196" s="167"/>
      <c r="E196" s="167"/>
      <c r="F196" s="169"/>
      <c r="G196" s="171"/>
      <c r="H196" s="173"/>
      <c r="I196" s="173"/>
      <c r="J196" s="169"/>
      <c r="K196" s="169"/>
      <c r="L196" s="169"/>
      <c r="M196" s="169"/>
      <c r="N196" s="171"/>
      <c r="O196" s="173"/>
      <c r="P196" s="173"/>
      <c r="Q196" s="169"/>
      <c r="R196" s="169"/>
      <c r="S196" s="169"/>
      <c r="T196" s="175"/>
      <c r="U196" s="171"/>
      <c r="V196" s="173"/>
      <c r="W196" s="173"/>
      <c r="X196" s="169"/>
      <c r="Y196" s="169"/>
      <c r="Z196" s="171"/>
      <c r="AA196" s="171"/>
      <c r="AB196" s="169"/>
      <c r="AC196" s="173"/>
      <c r="AD196" s="173"/>
      <c r="AE196" s="173"/>
      <c r="AF196" s="173"/>
      <c r="AG196" s="169"/>
      <c r="AH196" s="177"/>
      <c r="AI196" s="192"/>
      <c r="AJ196" s="11"/>
      <c r="AK196" s="11"/>
      <c r="AL196" s="11"/>
      <c r="AM196" s="11"/>
      <c r="AN196" s="52"/>
      <c r="AO196" s="24"/>
      <c r="AP196" s="69"/>
      <c r="AQ196" s="127"/>
      <c r="AR196" s="40"/>
      <c r="AS196" s="115"/>
      <c r="AT196" s="115"/>
      <c r="AU196" s="115"/>
      <c r="AV196" s="115"/>
      <c r="AW196" s="115"/>
      <c r="AX196" s="115"/>
      <c r="AY196" s="115"/>
      <c r="AZ196" s="115"/>
      <c r="BA196" s="115"/>
      <c r="BB196" s="113"/>
      <c r="BC196" s="113"/>
      <c r="BD196" s="115"/>
      <c r="BE196" s="115"/>
      <c r="BF196" s="115"/>
      <c r="BG196" s="115"/>
      <c r="BH196" s="115"/>
      <c r="BI196" s="115"/>
      <c r="BJ196" s="115"/>
      <c r="BK196" s="115"/>
      <c r="BL196" s="115"/>
      <c r="BM196" s="115"/>
      <c r="BN196" s="115"/>
    </row>
    <row r="197" spans="1:66" s="2" customFormat="1" ht="20" thickBot="1" x14ac:dyDescent="0.3">
      <c r="A197" s="178"/>
      <c r="B197" s="140"/>
      <c r="C197" s="92" t="s">
        <v>4</v>
      </c>
      <c r="D197" s="88"/>
      <c r="E197" s="88"/>
      <c r="F197" s="88"/>
      <c r="G197" s="89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90"/>
      <c r="AI197" s="36"/>
      <c r="AJ197" s="34"/>
      <c r="AK197" s="34"/>
      <c r="AL197" s="34"/>
      <c r="AM197" s="34"/>
      <c r="AN197" s="53"/>
      <c r="AO197" s="25"/>
      <c r="AP197" s="70"/>
      <c r="AQ197" s="127"/>
      <c r="AR197" s="40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113"/>
      <c r="BC197" s="113"/>
      <c r="BD197" s="115"/>
      <c r="BE197" s="115"/>
      <c r="BF197" s="115"/>
      <c r="BG197" s="115"/>
      <c r="BH197" s="115"/>
      <c r="BI197" s="115"/>
      <c r="BJ197" s="115"/>
      <c r="BK197" s="115"/>
      <c r="BL197" s="115"/>
      <c r="BM197" s="115"/>
      <c r="BN197" s="115"/>
    </row>
    <row r="198" spans="1:66" s="2" customFormat="1" ht="21" thickTop="1" thickBot="1" x14ac:dyDescent="0.3">
      <c r="A198" s="188">
        <v>64</v>
      </c>
      <c r="B198" s="138"/>
      <c r="C198" s="91" t="s">
        <v>11</v>
      </c>
      <c r="D198" s="166"/>
      <c r="E198" s="166"/>
      <c r="F198" s="168"/>
      <c r="G198" s="170"/>
      <c r="H198" s="172"/>
      <c r="I198" s="172"/>
      <c r="J198" s="168"/>
      <c r="K198" s="168"/>
      <c r="L198" s="168"/>
      <c r="M198" s="168"/>
      <c r="N198" s="170"/>
      <c r="O198" s="172"/>
      <c r="P198" s="172"/>
      <c r="Q198" s="168"/>
      <c r="R198" s="168"/>
      <c r="S198" s="168"/>
      <c r="T198" s="174"/>
      <c r="U198" s="170"/>
      <c r="V198" s="172"/>
      <c r="W198" s="172"/>
      <c r="X198" s="168"/>
      <c r="Y198" s="168"/>
      <c r="Z198" s="170"/>
      <c r="AA198" s="170"/>
      <c r="AB198" s="168"/>
      <c r="AC198" s="172"/>
      <c r="AD198" s="172"/>
      <c r="AE198" s="172"/>
      <c r="AF198" s="172"/>
      <c r="AG198" s="168"/>
      <c r="AH198" s="176"/>
      <c r="AI198" s="159">
        <f>SUM(D198:AH198)</f>
        <v>0</v>
      </c>
      <c r="AJ198" s="87"/>
      <c r="AK198" s="39"/>
      <c r="AL198" s="39"/>
      <c r="AM198" s="100">
        <f>SUMIF(D200:AH200, "CO", D198:AH198) + SUMIF(D200:AH200, "CO", D199:AH199)</f>
        <v>0</v>
      </c>
      <c r="AN198" s="54">
        <f ca="1">SUM(AI198:CA198)</f>
        <v>0</v>
      </c>
      <c r="AO198" s="104"/>
      <c r="AP198" s="71"/>
      <c r="AQ198" s="127"/>
      <c r="AR198" s="40"/>
      <c r="AS198" s="115"/>
      <c r="AT198" s="115"/>
      <c r="AU198" s="115"/>
      <c r="AV198" s="115"/>
      <c r="AW198" s="115"/>
      <c r="AX198" s="115"/>
      <c r="AY198" s="115"/>
      <c r="AZ198" s="115"/>
      <c r="BA198" s="115"/>
      <c r="BB198" s="113"/>
      <c r="BC198" s="113"/>
      <c r="BD198" s="115"/>
      <c r="BE198" s="115"/>
      <c r="BF198" s="115"/>
      <c r="BG198" s="115"/>
      <c r="BH198" s="115"/>
      <c r="BI198" s="115"/>
      <c r="BJ198" s="115"/>
      <c r="BK198" s="115"/>
      <c r="BL198" s="115"/>
      <c r="BM198" s="115"/>
      <c r="BN198" s="115"/>
    </row>
    <row r="199" spans="1:66" s="2" customFormat="1" ht="20" thickBot="1" x14ac:dyDescent="0.3">
      <c r="A199" s="142"/>
      <c r="B199" s="139"/>
      <c r="C199" s="3" t="s">
        <v>12</v>
      </c>
      <c r="D199" s="167"/>
      <c r="E199" s="167"/>
      <c r="F199" s="169"/>
      <c r="G199" s="171"/>
      <c r="H199" s="173"/>
      <c r="I199" s="173"/>
      <c r="J199" s="169"/>
      <c r="K199" s="169"/>
      <c r="L199" s="169"/>
      <c r="M199" s="169"/>
      <c r="N199" s="171"/>
      <c r="O199" s="173"/>
      <c r="P199" s="173"/>
      <c r="Q199" s="169"/>
      <c r="R199" s="169"/>
      <c r="S199" s="169"/>
      <c r="T199" s="175"/>
      <c r="U199" s="171"/>
      <c r="V199" s="173"/>
      <c r="W199" s="173"/>
      <c r="X199" s="169"/>
      <c r="Y199" s="169"/>
      <c r="Z199" s="171"/>
      <c r="AA199" s="171"/>
      <c r="AB199" s="169"/>
      <c r="AC199" s="173"/>
      <c r="AD199" s="173"/>
      <c r="AE199" s="173"/>
      <c r="AF199" s="173"/>
      <c r="AG199" s="169"/>
      <c r="AH199" s="177"/>
      <c r="AI199" s="160"/>
      <c r="AJ199" s="11"/>
      <c r="AK199" s="11"/>
      <c r="AL199" s="11"/>
      <c r="AM199" s="11"/>
      <c r="AN199" s="52"/>
      <c r="AO199" s="24"/>
      <c r="AP199" s="69"/>
      <c r="AQ199" s="127"/>
      <c r="AR199" s="43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3"/>
      <c r="BC199" s="113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115"/>
      <c r="BN199" s="115"/>
    </row>
    <row r="200" spans="1:66" s="2" customFormat="1" ht="20" thickBot="1" x14ac:dyDescent="0.3">
      <c r="A200" s="178"/>
      <c r="B200" s="140"/>
      <c r="C200" s="92" t="s">
        <v>4</v>
      </c>
      <c r="D200" s="88"/>
      <c r="E200" s="88"/>
      <c r="F200" s="88"/>
      <c r="G200" s="89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90"/>
      <c r="AI200" s="36"/>
      <c r="AJ200" s="34"/>
      <c r="AK200" s="34"/>
      <c r="AL200" s="34"/>
      <c r="AM200" s="34"/>
      <c r="AN200" s="53"/>
      <c r="AO200" s="25"/>
      <c r="AP200" s="70"/>
      <c r="AQ200" s="127"/>
      <c r="AR200" s="43"/>
      <c r="AS200" s="115"/>
      <c r="AT200" s="115"/>
      <c r="AU200" s="115"/>
      <c r="AV200" s="115"/>
      <c r="AW200" s="115"/>
      <c r="AX200" s="115"/>
      <c r="AY200" s="115"/>
      <c r="AZ200" s="115"/>
      <c r="BA200" s="115"/>
      <c r="BB200" s="113"/>
      <c r="BC200" s="113"/>
      <c r="BD200" s="115"/>
      <c r="BE200" s="115"/>
      <c r="BF200" s="115"/>
      <c r="BG200" s="115"/>
      <c r="BH200" s="115"/>
      <c r="BI200" s="115"/>
      <c r="BJ200" s="115"/>
      <c r="BK200" s="115"/>
      <c r="BL200" s="115"/>
      <c r="BM200" s="115"/>
      <c r="BN200" s="115"/>
    </row>
    <row r="201" spans="1:66" s="2" customFormat="1" ht="21" thickTop="1" thickBot="1" x14ac:dyDescent="0.3">
      <c r="A201" s="144">
        <v>65</v>
      </c>
      <c r="B201" s="138"/>
      <c r="C201" s="91" t="s">
        <v>11</v>
      </c>
      <c r="D201" s="166"/>
      <c r="E201" s="166"/>
      <c r="F201" s="168"/>
      <c r="G201" s="170"/>
      <c r="H201" s="172"/>
      <c r="I201" s="172"/>
      <c r="J201" s="168"/>
      <c r="K201" s="168"/>
      <c r="L201" s="168"/>
      <c r="M201" s="168"/>
      <c r="N201" s="170"/>
      <c r="O201" s="172"/>
      <c r="P201" s="172"/>
      <c r="Q201" s="168"/>
      <c r="R201" s="168"/>
      <c r="S201" s="168"/>
      <c r="T201" s="174"/>
      <c r="U201" s="170"/>
      <c r="V201" s="172"/>
      <c r="W201" s="172"/>
      <c r="X201" s="168"/>
      <c r="Y201" s="168"/>
      <c r="Z201" s="170"/>
      <c r="AA201" s="170"/>
      <c r="AB201" s="168"/>
      <c r="AC201" s="172"/>
      <c r="AD201" s="172"/>
      <c r="AE201" s="172"/>
      <c r="AF201" s="172"/>
      <c r="AG201" s="168"/>
      <c r="AH201" s="176"/>
      <c r="AI201" s="159">
        <f>SUM(D201:AH201)</f>
        <v>0</v>
      </c>
      <c r="AJ201" s="86"/>
      <c r="AK201" s="32"/>
      <c r="AL201" s="8"/>
      <c r="AM201" s="99">
        <f>SUMIF(D203:AH203, "CO", D201:AH201) + SUMIF(D203:AH203, "CO", D202:AH202)</f>
        <v>0</v>
      </c>
      <c r="AN201" s="55">
        <f ca="1">SUM(AI201:CA201)</f>
        <v>0</v>
      </c>
      <c r="AO201" s="8"/>
      <c r="AP201" s="72"/>
      <c r="AQ201" s="127"/>
      <c r="AR201" s="44"/>
      <c r="AS201" s="115"/>
      <c r="AT201" s="115"/>
      <c r="AU201" s="115"/>
      <c r="AV201" s="115"/>
      <c r="AW201" s="115"/>
      <c r="AX201" s="115"/>
      <c r="AY201" s="115"/>
      <c r="AZ201" s="115"/>
      <c r="BA201" s="115"/>
      <c r="BB201" s="113"/>
      <c r="BC201" s="113"/>
      <c r="BD201" s="115"/>
      <c r="BE201" s="115"/>
      <c r="BF201" s="115"/>
      <c r="BG201" s="115"/>
      <c r="BH201" s="115"/>
      <c r="BI201" s="115"/>
      <c r="BJ201" s="115"/>
      <c r="BK201" s="115"/>
      <c r="BL201" s="115"/>
      <c r="BM201" s="115"/>
      <c r="BN201" s="115"/>
    </row>
    <row r="202" spans="1:66" s="2" customFormat="1" ht="20" thickBot="1" x14ac:dyDescent="0.3">
      <c r="A202" s="142"/>
      <c r="B202" s="139"/>
      <c r="C202" s="3" t="s">
        <v>12</v>
      </c>
      <c r="D202" s="167"/>
      <c r="E202" s="167"/>
      <c r="F202" s="169"/>
      <c r="G202" s="171"/>
      <c r="H202" s="173"/>
      <c r="I202" s="173"/>
      <c r="J202" s="169"/>
      <c r="K202" s="169"/>
      <c r="L202" s="169"/>
      <c r="M202" s="169"/>
      <c r="N202" s="171"/>
      <c r="O202" s="173"/>
      <c r="P202" s="173"/>
      <c r="Q202" s="169"/>
      <c r="R202" s="169"/>
      <c r="S202" s="169"/>
      <c r="T202" s="175"/>
      <c r="U202" s="171"/>
      <c r="V202" s="173"/>
      <c r="W202" s="173"/>
      <c r="X202" s="169"/>
      <c r="Y202" s="169"/>
      <c r="Z202" s="171"/>
      <c r="AA202" s="171"/>
      <c r="AB202" s="169"/>
      <c r="AC202" s="173"/>
      <c r="AD202" s="173"/>
      <c r="AE202" s="173"/>
      <c r="AF202" s="173"/>
      <c r="AG202" s="169"/>
      <c r="AH202" s="177"/>
      <c r="AI202" s="160"/>
      <c r="AJ202" s="11"/>
      <c r="AK202" s="21"/>
      <c r="AL202" s="7"/>
      <c r="AM202" s="11"/>
      <c r="AN202" s="56"/>
      <c r="AO202" s="5"/>
      <c r="AP202" s="73"/>
      <c r="AQ202" s="127"/>
      <c r="AR202" s="5"/>
      <c r="AS202" s="115"/>
      <c r="AT202" s="115"/>
      <c r="AU202" s="115"/>
      <c r="AV202" s="115"/>
      <c r="AW202" s="115"/>
      <c r="AX202" s="115"/>
      <c r="AY202" s="115"/>
      <c r="AZ202" s="115"/>
      <c r="BA202" s="115"/>
      <c r="BB202" s="113"/>
      <c r="BC202" s="113"/>
      <c r="BD202" s="115"/>
      <c r="BE202" s="115"/>
      <c r="BF202" s="115"/>
      <c r="BG202" s="115"/>
      <c r="BH202" s="115"/>
      <c r="BI202" s="115"/>
      <c r="BJ202" s="115"/>
      <c r="BK202" s="115"/>
      <c r="BL202" s="115"/>
      <c r="BM202" s="115"/>
      <c r="BN202" s="115"/>
    </row>
    <row r="203" spans="1:66" s="2" customFormat="1" ht="20" thickBot="1" x14ac:dyDescent="0.3">
      <c r="A203" s="178"/>
      <c r="B203" s="140"/>
      <c r="C203" s="92" t="s">
        <v>4</v>
      </c>
      <c r="D203" s="88"/>
      <c r="E203" s="88"/>
      <c r="F203" s="88"/>
      <c r="G203" s="89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90"/>
      <c r="AI203" s="36"/>
      <c r="AJ203" s="34"/>
      <c r="AK203" s="33"/>
      <c r="AL203" s="28"/>
      <c r="AM203" s="34"/>
      <c r="AN203" s="57"/>
      <c r="AO203" s="30"/>
      <c r="AP203" s="74"/>
      <c r="AQ203" s="127"/>
      <c r="AR203" s="5"/>
      <c r="AS203" s="115"/>
      <c r="AT203" s="115"/>
      <c r="AU203" s="115"/>
      <c r="AV203" s="115"/>
      <c r="AW203" s="115"/>
      <c r="AX203" s="115"/>
      <c r="AY203" s="115"/>
      <c r="AZ203" s="115"/>
      <c r="BA203" s="115"/>
      <c r="BB203" s="113"/>
      <c r="BC203" s="113"/>
      <c r="BD203" s="115"/>
      <c r="BE203" s="115"/>
      <c r="BF203" s="115"/>
      <c r="BG203" s="115"/>
      <c r="BH203" s="115"/>
      <c r="BI203" s="115"/>
      <c r="BJ203" s="115"/>
      <c r="BK203" s="115"/>
      <c r="BL203" s="115"/>
      <c r="BM203" s="115"/>
      <c r="BN203" s="115"/>
    </row>
    <row r="204" spans="1:66" s="2" customFormat="1" ht="21" thickTop="1" thickBot="1" x14ac:dyDescent="0.3">
      <c r="A204" s="188">
        <v>66</v>
      </c>
      <c r="B204" s="179"/>
      <c r="C204" s="93" t="s">
        <v>11</v>
      </c>
      <c r="D204" s="182"/>
      <c r="E204" s="182"/>
      <c r="F204" s="184"/>
      <c r="G204" s="186"/>
      <c r="H204" s="184"/>
      <c r="I204" s="184"/>
      <c r="J204" s="184"/>
      <c r="K204" s="184"/>
      <c r="L204" s="184"/>
      <c r="M204" s="184"/>
      <c r="N204" s="186"/>
      <c r="O204" s="184"/>
      <c r="P204" s="184"/>
      <c r="Q204" s="184"/>
      <c r="R204" s="184"/>
      <c r="S204" s="184"/>
      <c r="T204" s="186"/>
      <c r="U204" s="186"/>
      <c r="V204" s="184"/>
      <c r="W204" s="184"/>
      <c r="X204" s="184"/>
      <c r="Y204" s="184"/>
      <c r="Z204" s="186"/>
      <c r="AA204" s="186"/>
      <c r="AB204" s="184"/>
      <c r="AC204" s="184"/>
      <c r="AD204" s="184"/>
      <c r="AE204" s="184"/>
      <c r="AF204" s="184"/>
      <c r="AG204" s="184"/>
      <c r="AH204" s="190"/>
      <c r="AI204" s="159">
        <f>SUM(D204:AH204)</f>
        <v>0</v>
      </c>
      <c r="AJ204" s="87"/>
      <c r="AK204" s="12"/>
      <c r="AL204" s="18"/>
      <c r="AM204" s="100">
        <f>SUMIF(D206:AH206, "CO", D204:AH204) + SUMIF(D206:AH206, "CO", D205:AH205)</f>
        <v>0</v>
      </c>
      <c r="AN204" s="58">
        <f ca="1">SUM(AI204:CA204)</f>
        <v>0</v>
      </c>
      <c r="AO204" s="17"/>
      <c r="AP204" s="75"/>
      <c r="AQ204" s="127"/>
      <c r="AR204" s="45"/>
      <c r="AS204" s="115"/>
      <c r="AT204" s="115"/>
      <c r="AU204" s="115"/>
      <c r="AV204" s="115"/>
      <c r="AW204" s="115"/>
      <c r="AX204" s="115"/>
      <c r="AY204" s="115"/>
      <c r="AZ204" s="115"/>
      <c r="BA204" s="115"/>
      <c r="BB204" s="113"/>
      <c r="BC204" s="113"/>
      <c r="BD204" s="115"/>
      <c r="BE204" s="115"/>
      <c r="BF204" s="115"/>
      <c r="BG204" s="115"/>
      <c r="BH204" s="115"/>
      <c r="BI204" s="115"/>
      <c r="BJ204" s="115"/>
      <c r="BK204" s="115"/>
      <c r="BL204" s="115"/>
      <c r="BM204" s="115"/>
      <c r="BN204" s="115"/>
    </row>
    <row r="205" spans="1:66" s="2" customFormat="1" ht="20" thickBot="1" x14ac:dyDescent="0.3">
      <c r="A205" s="142"/>
      <c r="B205" s="180"/>
      <c r="C205" s="94" t="s">
        <v>12</v>
      </c>
      <c r="D205" s="183"/>
      <c r="E205" s="183"/>
      <c r="F205" s="185"/>
      <c r="G205" s="187"/>
      <c r="H205" s="185"/>
      <c r="I205" s="185"/>
      <c r="J205" s="185"/>
      <c r="K205" s="185"/>
      <c r="L205" s="185"/>
      <c r="M205" s="185"/>
      <c r="N205" s="187"/>
      <c r="O205" s="185"/>
      <c r="P205" s="185"/>
      <c r="Q205" s="185"/>
      <c r="R205" s="185"/>
      <c r="S205" s="185"/>
      <c r="T205" s="187"/>
      <c r="U205" s="187"/>
      <c r="V205" s="185"/>
      <c r="W205" s="185"/>
      <c r="X205" s="185"/>
      <c r="Y205" s="185"/>
      <c r="Z205" s="187"/>
      <c r="AA205" s="187"/>
      <c r="AB205" s="185"/>
      <c r="AC205" s="185"/>
      <c r="AD205" s="185"/>
      <c r="AE205" s="185"/>
      <c r="AF205" s="185"/>
      <c r="AG205" s="185"/>
      <c r="AH205" s="191"/>
      <c r="AI205" s="160"/>
      <c r="AJ205" s="11"/>
      <c r="AK205" s="10"/>
      <c r="AL205" s="7"/>
      <c r="AM205" s="11"/>
      <c r="AN205" s="59"/>
      <c r="AO205" s="5"/>
      <c r="AP205" s="73"/>
      <c r="AQ205" s="127"/>
      <c r="AR205" s="5"/>
      <c r="AS205" s="115"/>
      <c r="AT205" s="115"/>
      <c r="AU205" s="115"/>
      <c r="AV205" s="115"/>
      <c r="AW205" s="115"/>
      <c r="AX205" s="115"/>
      <c r="AY205" s="115"/>
      <c r="AZ205" s="115"/>
      <c r="BA205" s="115"/>
      <c r="BB205" s="113"/>
      <c r="BC205" s="113"/>
      <c r="BD205" s="115"/>
      <c r="BE205" s="115"/>
      <c r="BF205" s="115"/>
      <c r="BG205" s="115"/>
      <c r="BH205" s="115"/>
      <c r="BI205" s="115"/>
      <c r="BJ205" s="115"/>
      <c r="BK205" s="115"/>
      <c r="BL205" s="115"/>
      <c r="BM205" s="115"/>
      <c r="BN205" s="115"/>
    </row>
    <row r="206" spans="1:66" s="2" customFormat="1" ht="20" thickBot="1" x14ac:dyDescent="0.3">
      <c r="A206" s="178"/>
      <c r="B206" s="181"/>
      <c r="C206" s="92" t="s">
        <v>4</v>
      </c>
      <c r="D206" s="95"/>
      <c r="E206" s="95"/>
      <c r="F206" s="95"/>
      <c r="G206" s="96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7"/>
      <c r="AI206" s="36"/>
      <c r="AJ206" s="34"/>
      <c r="AK206" s="29"/>
      <c r="AL206" s="28"/>
      <c r="AM206" s="34"/>
      <c r="AN206" s="60"/>
      <c r="AO206" s="30"/>
      <c r="AP206" s="74"/>
      <c r="AQ206" s="127"/>
      <c r="AR206" s="5"/>
      <c r="AS206" s="115"/>
      <c r="AT206" s="115"/>
      <c r="AU206" s="115"/>
      <c r="AV206" s="115"/>
      <c r="AW206" s="115"/>
      <c r="AX206" s="115"/>
      <c r="AY206" s="115"/>
      <c r="AZ206" s="115"/>
      <c r="BA206" s="115"/>
      <c r="BB206" s="113"/>
      <c r="BC206" s="113"/>
      <c r="BD206" s="115"/>
      <c r="BE206" s="115"/>
      <c r="BF206" s="115"/>
      <c r="BG206" s="115"/>
      <c r="BH206" s="115"/>
      <c r="BI206" s="115"/>
      <c r="BJ206" s="115"/>
      <c r="BK206" s="115"/>
      <c r="BL206" s="115"/>
      <c r="BM206" s="115"/>
      <c r="BN206" s="115"/>
    </row>
    <row r="207" spans="1:66" s="2" customFormat="1" ht="23" thickTop="1" thickBot="1" x14ac:dyDescent="0.3">
      <c r="A207" s="188">
        <v>67</v>
      </c>
      <c r="B207" s="189"/>
      <c r="C207" s="98" t="s">
        <v>11</v>
      </c>
      <c r="D207" s="182"/>
      <c r="E207" s="182"/>
      <c r="F207" s="184"/>
      <c r="G207" s="186"/>
      <c r="H207" s="184"/>
      <c r="I207" s="184"/>
      <c r="J207" s="184"/>
      <c r="K207" s="184"/>
      <c r="L207" s="184"/>
      <c r="M207" s="184"/>
      <c r="N207" s="186"/>
      <c r="O207" s="184"/>
      <c r="P207" s="184"/>
      <c r="Q207" s="184"/>
      <c r="R207" s="184"/>
      <c r="S207" s="184"/>
      <c r="T207" s="186"/>
      <c r="U207" s="186"/>
      <c r="V207" s="184"/>
      <c r="W207" s="184"/>
      <c r="X207" s="184"/>
      <c r="Y207" s="184"/>
      <c r="Z207" s="186"/>
      <c r="AA207" s="186"/>
      <c r="AB207" s="184"/>
      <c r="AC207" s="184"/>
      <c r="AD207" s="184"/>
      <c r="AE207" s="184"/>
      <c r="AF207" s="184"/>
      <c r="AG207" s="184"/>
      <c r="AH207" s="190"/>
      <c r="AI207" s="159">
        <f>SUM(D207:AH207)</f>
        <v>0</v>
      </c>
      <c r="AJ207" s="86"/>
      <c r="AK207" s="12"/>
      <c r="AL207" s="18"/>
      <c r="AM207" s="99">
        <f>SUMIF(D209:AH209, "CO", D207:AH207) + SUMIF(D209:AH209, "CO", D208:AH208)</f>
        <v>0</v>
      </c>
      <c r="AN207" s="58">
        <f ca="1">SUM(AI207:CA207)</f>
        <v>0</v>
      </c>
      <c r="AO207" s="17"/>
      <c r="AP207" s="75"/>
      <c r="AQ207" s="127"/>
      <c r="AR207" s="6"/>
      <c r="AS207" s="115"/>
      <c r="AT207" s="115"/>
      <c r="AU207" s="115"/>
      <c r="AV207" s="115"/>
      <c r="AW207" s="115"/>
      <c r="AX207" s="115"/>
      <c r="AY207" s="115"/>
      <c r="AZ207" s="115"/>
      <c r="BA207" s="115"/>
      <c r="BB207" s="113"/>
      <c r="BC207" s="113"/>
      <c r="BD207" s="115"/>
      <c r="BE207" s="115"/>
      <c r="BF207" s="115"/>
      <c r="BG207" s="115"/>
      <c r="BH207" s="115"/>
      <c r="BI207" s="115"/>
      <c r="BJ207" s="115"/>
      <c r="BK207" s="115"/>
      <c r="BL207" s="115"/>
      <c r="BM207" s="115"/>
      <c r="BN207" s="115"/>
    </row>
    <row r="208" spans="1:66" s="2" customFormat="1" ht="20" thickBot="1" x14ac:dyDescent="0.3">
      <c r="A208" s="142"/>
      <c r="B208" s="180"/>
      <c r="C208" s="94" t="s">
        <v>12</v>
      </c>
      <c r="D208" s="183"/>
      <c r="E208" s="183"/>
      <c r="F208" s="185"/>
      <c r="G208" s="187"/>
      <c r="H208" s="185"/>
      <c r="I208" s="185"/>
      <c r="J208" s="185"/>
      <c r="K208" s="185"/>
      <c r="L208" s="185"/>
      <c r="M208" s="185"/>
      <c r="N208" s="187"/>
      <c r="O208" s="185"/>
      <c r="P208" s="185"/>
      <c r="Q208" s="185"/>
      <c r="R208" s="185"/>
      <c r="S208" s="185"/>
      <c r="T208" s="187"/>
      <c r="U208" s="187"/>
      <c r="V208" s="185"/>
      <c r="W208" s="185"/>
      <c r="X208" s="185"/>
      <c r="Y208" s="185"/>
      <c r="Z208" s="187"/>
      <c r="AA208" s="187"/>
      <c r="AB208" s="185"/>
      <c r="AC208" s="185"/>
      <c r="AD208" s="185"/>
      <c r="AE208" s="185"/>
      <c r="AF208" s="185"/>
      <c r="AG208" s="185"/>
      <c r="AH208" s="191"/>
      <c r="AI208" s="160"/>
      <c r="AJ208" s="11"/>
      <c r="AK208" s="10"/>
      <c r="AL208" s="7"/>
      <c r="AM208" s="11"/>
      <c r="AN208" s="59"/>
      <c r="AO208" s="5"/>
      <c r="AP208" s="73"/>
      <c r="AQ208" s="127"/>
      <c r="AR208" s="5"/>
      <c r="AS208" s="115"/>
      <c r="AT208" s="115"/>
      <c r="AU208" s="115"/>
      <c r="AV208" s="115"/>
      <c r="AW208" s="115"/>
      <c r="AX208" s="115"/>
      <c r="AY208" s="115"/>
      <c r="AZ208" s="115"/>
      <c r="BA208" s="115"/>
      <c r="BB208" s="113"/>
      <c r="BC208" s="113"/>
      <c r="BD208" s="115"/>
      <c r="BE208" s="115"/>
      <c r="BF208" s="115"/>
      <c r="BG208" s="115"/>
      <c r="BH208" s="115"/>
      <c r="BI208" s="115"/>
      <c r="BJ208" s="115"/>
      <c r="BK208" s="115"/>
      <c r="BL208" s="115"/>
      <c r="BM208" s="115"/>
      <c r="BN208" s="115"/>
    </row>
    <row r="209" spans="1:66" s="2" customFormat="1" ht="20" thickBot="1" x14ac:dyDescent="0.3">
      <c r="A209" s="178"/>
      <c r="B209" s="181"/>
      <c r="C209" s="92" t="s">
        <v>4</v>
      </c>
      <c r="D209" s="95"/>
      <c r="E209" s="95"/>
      <c r="F209" s="95"/>
      <c r="G209" s="96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7"/>
      <c r="AI209" s="36"/>
      <c r="AJ209" s="34"/>
      <c r="AK209" s="29"/>
      <c r="AL209" s="28"/>
      <c r="AM209" s="34"/>
      <c r="AN209" s="60"/>
      <c r="AO209" s="30"/>
      <c r="AP209" s="74"/>
      <c r="AQ209" s="127"/>
      <c r="AR209" s="5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113"/>
      <c r="BC209" s="113"/>
      <c r="BD209" s="115"/>
      <c r="BE209" s="115"/>
      <c r="BF209" s="115"/>
      <c r="BG209" s="115"/>
      <c r="BH209" s="115"/>
      <c r="BI209" s="115"/>
      <c r="BJ209" s="115"/>
      <c r="BK209" s="115"/>
      <c r="BL209" s="115"/>
      <c r="BM209" s="115"/>
      <c r="BN209" s="115"/>
    </row>
    <row r="210" spans="1:66" s="2" customFormat="1" ht="21" thickTop="1" thickBot="1" x14ac:dyDescent="0.3">
      <c r="A210" s="144">
        <v>68</v>
      </c>
      <c r="B210" s="189"/>
      <c r="C210" s="98" t="s">
        <v>11</v>
      </c>
      <c r="D210" s="182"/>
      <c r="E210" s="182"/>
      <c r="F210" s="184"/>
      <c r="G210" s="186"/>
      <c r="H210" s="184"/>
      <c r="I210" s="184"/>
      <c r="J210" s="184"/>
      <c r="K210" s="184"/>
      <c r="L210" s="184"/>
      <c r="M210" s="184"/>
      <c r="N210" s="186"/>
      <c r="O210" s="184"/>
      <c r="P210" s="184"/>
      <c r="Q210" s="184"/>
      <c r="R210" s="184"/>
      <c r="S210" s="184"/>
      <c r="T210" s="186"/>
      <c r="U210" s="186"/>
      <c r="V210" s="184"/>
      <c r="W210" s="184"/>
      <c r="X210" s="184"/>
      <c r="Y210" s="184"/>
      <c r="Z210" s="186"/>
      <c r="AA210" s="186"/>
      <c r="AB210" s="184"/>
      <c r="AC210" s="184"/>
      <c r="AD210" s="184"/>
      <c r="AE210" s="184"/>
      <c r="AF210" s="184"/>
      <c r="AG210" s="184"/>
      <c r="AH210" s="190"/>
      <c r="AI210" s="159">
        <f t="shared" ref="AI210" si="115">SUM(D210:AH210)</f>
        <v>0</v>
      </c>
      <c r="AJ210" s="87"/>
      <c r="AK210" s="18"/>
      <c r="AL210" s="18"/>
      <c r="AM210" s="100">
        <f>SUMIF(D212:AH212, "CO", D210:AH210) + SUMIF(D212:AH212, "CO", D211:AH211)</f>
        <v>0</v>
      </c>
      <c r="AN210" s="58">
        <f ca="1">SUM(AI210:CA210)</f>
        <v>0</v>
      </c>
      <c r="AO210" s="17"/>
      <c r="AP210" s="76"/>
      <c r="AQ210" s="127"/>
      <c r="AR210" s="46"/>
      <c r="AS210" s="115"/>
      <c r="AT210" s="115"/>
      <c r="AU210" s="115"/>
      <c r="AV210" s="115"/>
      <c r="AW210" s="115"/>
      <c r="AX210" s="115"/>
      <c r="AY210" s="115"/>
      <c r="AZ210" s="115"/>
      <c r="BA210" s="115"/>
      <c r="BB210" s="113"/>
      <c r="BC210" s="113"/>
      <c r="BD210" s="115"/>
      <c r="BE210" s="115"/>
      <c r="BF210" s="115"/>
      <c r="BG210" s="115"/>
      <c r="BH210" s="115"/>
      <c r="BI210" s="115"/>
      <c r="BJ210" s="115"/>
      <c r="BK210" s="115"/>
      <c r="BL210" s="115"/>
      <c r="BM210" s="115"/>
      <c r="BN210" s="115"/>
    </row>
    <row r="211" spans="1:66" s="2" customFormat="1" ht="20" thickBot="1" x14ac:dyDescent="0.3">
      <c r="A211" s="142"/>
      <c r="B211" s="180"/>
      <c r="C211" s="94" t="s">
        <v>12</v>
      </c>
      <c r="D211" s="183"/>
      <c r="E211" s="183"/>
      <c r="F211" s="185"/>
      <c r="G211" s="187"/>
      <c r="H211" s="185"/>
      <c r="I211" s="185"/>
      <c r="J211" s="185"/>
      <c r="K211" s="185"/>
      <c r="L211" s="185"/>
      <c r="M211" s="185"/>
      <c r="N211" s="187"/>
      <c r="O211" s="185"/>
      <c r="P211" s="185"/>
      <c r="Q211" s="185"/>
      <c r="R211" s="185"/>
      <c r="S211" s="185"/>
      <c r="T211" s="187"/>
      <c r="U211" s="187"/>
      <c r="V211" s="185"/>
      <c r="W211" s="185"/>
      <c r="X211" s="185"/>
      <c r="Y211" s="185"/>
      <c r="Z211" s="187"/>
      <c r="AA211" s="187"/>
      <c r="AB211" s="185"/>
      <c r="AC211" s="185"/>
      <c r="AD211" s="185"/>
      <c r="AE211" s="185"/>
      <c r="AF211" s="185"/>
      <c r="AG211" s="185"/>
      <c r="AH211" s="191"/>
      <c r="AI211" s="160"/>
      <c r="AJ211" s="11"/>
      <c r="AK211" s="7"/>
      <c r="AL211" s="7"/>
      <c r="AM211" s="11"/>
      <c r="AN211" s="59"/>
      <c r="AO211" s="5"/>
      <c r="AP211" s="73"/>
      <c r="AQ211" s="127"/>
      <c r="AR211" s="5"/>
      <c r="AS211" s="115"/>
      <c r="AT211" s="115"/>
      <c r="AU211" s="115"/>
      <c r="AV211" s="115"/>
      <c r="AW211" s="115"/>
      <c r="AX211" s="115"/>
      <c r="AY211" s="115"/>
      <c r="AZ211" s="115"/>
      <c r="BA211" s="115"/>
      <c r="BB211" s="113"/>
      <c r="BC211" s="113"/>
      <c r="BD211" s="115"/>
      <c r="BE211" s="115"/>
      <c r="BF211" s="115"/>
      <c r="BG211" s="115"/>
      <c r="BH211" s="115"/>
      <c r="BI211" s="115"/>
      <c r="BJ211" s="115"/>
      <c r="BK211" s="115"/>
      <c r="BL211" s="115"/>
      <c r="BM211" s="115"/>
      <c r="BN211" s="115"/>
    </row>
    <row r="212" spans="1:66" s="2" customFormat="1" ht="20" thickBot="1" x14ac:dyDescent="0.3">
      <c r="A212" s="178"/>
      <c r="B212" s="181"/>
      <c r="C212" s="92" t="s">
        <v>4</v>
      </c>
      <c r="D212" s="95"/>
      <c r="E212" s="95"/>
      <c r="F212" s="95"/>
      <c r="G212" s="96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7"/>
      <c r="AI212" s="36"/>
      <c r="AJ212" s="34"/>
      <c r="AK212" s="28"/>
      <c r="AL212" s="28"/>
      <c r="AM212" s="34"/>
      <c r="AN212" s="60"/>
      <c r="AO212" s="30"/>
      <c r="AP212" s="74"/>
      <c r="AQ212" s="127"/>
      <c r="AR212" s="5"/>
      <c r="AS212" s="115"/>
      <c r="AT212" s="115"/>
      <c r="AU212" s="115"/>
      <c r="AV212" s="115"/>
      <c r="AW212" s="115"/>
      <c r="AX212" s="115"/>
      <c r="AY212" s="115"/>
      <c r="AZ212" s="115"/>
      <c r="BA212" s="115"/>
      <c r="BB212" s="113"/>
      <c r="BC212" s="113"/>
      <c r="BD212" s="115"/>
      <c r="BE212" s="115"/>
      <c r="BF212" s="115"/>
      <c r="BG212" s="115"/>
      <c r="BH212" s="115"/>
      <c r="BI212" s="115"/>
      <c r="BJ212" s="115"/>
      <c r="BK212" s="115"/>
      <c r="BL212" s="115"/>
      <c r="BM212" s="115"/>
      <c r="BN212" s="115"/>
    </row>
    <row r="213" spans="1:66" s="2" customFormat="1" ht="21" thickTop="1" thickBot="1" x14ac:dyDescent="0.3">
      <c r="A213" s="188">
        <v>69</v>
      </c>
      <c r="B213" s="138"/>
      <c r="C213" s="91" t="s">
        <v>11</v>
      </c>
      <c r="D213" s="166"/>
      <c r="E213" s="166"/>
      <c r="F213" s="168"/>
      <c r="G213" s="170"/>
      <c r="H213" s="172"/>
      <c r="I213" s="172"/>
      <c r="J213" s="168"/>
      <c r="K213" s="168"/>
      <c r="L213" s="168"/>
      <c r="M213" s="168"/>
      <c r="N213" s="170"/>
      <c r="O213" s="172"/>
      <c r="P213" s="172"/>
      <c r="Q213" s="168"/>
      <c r="R213" s="168"/>
      <c r="S213" s="168"/>
      <c r="T213" s="174"/>
      <c r="U213" s="170"/>
      <c r="V213" s="172"/>
      <c r="W213" s="172"/>
      <c r="X213" s="168"/>
      <c r="Y213" s="168"/>
      <c r="Z213" s="170"/>
      <c r="AA213" s="170"/>
      <c r="AB213" s="168"/>
      <c r="AC213" s="172"/>
      <c r="AD213" s="172"/>
      <c r="AE213" s="172"/>
      <c r="AF213" s="172"/>
      <c r="AG213" s="168"/>
      <c r="AH213" s="176"/>
      <c r="AI213" s="159">
        <f t="shared" ref="AI213" si="116">SUM(D213:AH213)</f>
        <v>0</v>
      </c>
      <c r="AJ213" s="86"/>
      <c r="AK213" s="18"/>
      <c r="AL213" s="26"/>
      <c r="AM213" s="99">
        <f>SUMIF(D215:AH215, "CO", D213:AH213) + SUMIF(D215:AH215, "CO", D214:AH214)</f>
        <v>0</v>
      </c>
      <c r="AN213" s="61">
        <f ca="1">SUM(AI213:CA213)</f>
        <v>0</v>
      </c>
      <c r="AO213" s="27"/>
      <c r="AP213" s="77"/>
      <c r="AQ213" s="127"/>
      <c r="AR213" s="5"/>
      <c r="AS213" s="115"/>
      <c r="AT213" s="115"/>
      <c r="AU213" s="115"/>
      <c r="AV213" s="115"/>
      <c r="AW213" s="115"/>
      <c r="AX213" s="115"/>
      <c r="AY213" s="115"/>
      <c r="AZ213" s="115"/>
      <c r="BA213" s="115"/>
      <c r="BB213" s="113"/>
      <c r="BC213" s="113"/>
      <c r="BD213" s="115"/>
      <c r="BE213" s="115"/>
      <c r="BF213" s="115"/>
      <c r="BG213" s="115"/>
      <c r="BH213" s="115"/>
      <c r="BI213" s="115"/>
      <c r="BJ213" s="115"/>
      <c r="BK213" s="115"/>
      <c r="BL213" s="115"/>
      <c r="BM213" s="115"/>
      <c r="BN213" s="115"/>
    </row>
    <row r="214" spans="1:66" s="2" customFormat="1" ht="22" thickBot="1" x14ac:dyDescent="0.3">
      <c r="A214" s="142"/>
      <c r="B214" s="139"/>
      <c r="C214" s="3" t="s">
        <v>12</v>
      </c>
      <c r="D214" s="167"/>
      <c r="E214" s="167"/>
      <c r="F214" s="169"/>
      <c r="G214" s="171"/>
      <c r="H214" s="173"/>
      <c r="I214" s="173"/>
      <c r="J214" s="169"/>
      <c r="K214" s="169"/>
      <c r="L214" s="169"/>
      <c r="M214" s="169"/>
      <c r="N214" s="171"/>
      <c r="O214" s="173"/>
      <c r="P214" s="173"/>
      <c r="Q214" s="169"/>
      <c r="R214" s="169"/>
      <c r="S214" s="169"/>
      <c r="T214" s="175"/>
      <c r="U214" s="171"/>
      <c r="V214" s="173"/>
      <c r="W214" s="173"/>
      <c r="X214" s="169"/>
      <c r="Y214" s="169"/>
      <c r="Z214" s="171"/>
      <c r="AA214" s="171"/>
      <c r="AB214" s="169"/>
      <c r="AC214" s="173"/>
      <c r="AD214" s="173"/>
      <c r="AE214" s="173"/>
      <c r="AF214" s="173"/>
      <c r="AG214" s="169"/>
      <c r="AH214" s="177"/>
      <c r="AI214" s="160"/>
      <c r="AJ214" s="11"/>
      <c r="AK214" s="7"/>
      <c r="AL214" s="7"/>
      <c r="AM214" s="11"/>
      <c r="AN214" s="59"/>
      <c r="AO214" s="5"/>
      <c r="AP214" s="78"/>
      <c r="AQ214" s="127"/>
      <c r="AR214" s="5"/>
      <c r="AS214" s="115"/>
      <c r="AT214" s="115"/>
      <c r="AU214" s="115"/>
      <c r="AV214" s="115"/>
      <c r="AW214" s="115"/>
      <c r="AX214" s="115"/>
      <c r="AY214" s="115"/>
      <c r="AZ214" s="115"/>
      <c r="BA214" s="115"/>
      <c r="BB214" s="113"/>
      <c r="BC214" s="113"/>
      <c r="BD214" s="115"/>
      <c r="BE214" s="115"/>
      <c r="BF214" s="115"/>
      <c r="BG214" s="115"/>
      <c r="BH214" s="115"/>
      <c r="BI214" s="115"/>
      <c r="BJ214" s="115"/>
      <c r="BK214" s="115"/>
      <c r="BL214" s="115"/>
      <c r="BM214" s="115"/>
      <c r="BN214" s="115"/>
    </row>
    <row r="215" spans="1:66" s="2" customFormat="1" ht="20" thickBot="1" x14ac:dyDescent="0.3">
      <c r="A215" s="178"/>
      <c r="B215" s="140"/>
      <c r="C215" s="92" t="s">
        <v>4</v>
      </c>
      <c r="D215" s="88"/>
      <c r="E215" s="88"/>
      <c r="F215" s="88"/>
      <c r="G215" s="89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90"/>
      <c r="AI215" s="36"/>
      <c r="AJ215" s="34"/>
      <c r="AK215" s="28"/>
      <c r="AL215" s="28"/>
      <c r="AM215" s="34"/>
      <c r="AN215" s="60"/>
      <c r="AO215" s="30"/>
      <c r="AP215" s="74"/>
      <c r="AQ215" s="127"/>
      <c r="AR215" s="5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113"/>
      <c r="BC215" s="113"/>
      <c r="BD215" s="115"/>
      <c r="BE215" s="115"/>
      <c r="BF215" s="115"/>
      <c r="BG215" s="115"/>
      <c r="BH215" s="115"/>
      <c r="BI215" s="115"/>
      <c r="BJ215" s="115"/>
      <c r="BK215" s="115"/>
      <c r="BL215" s="115"/>
      <c r="BM215" s="115"/>
      <c r="BN215" s="115"/>
    </row>
    <row r="216" spans="1:66" s="2" customFormat="1" ht="21" thickTop="1" thickBot="1" x14ac:dyDescent="0.3">
      <c r="A216" s="188">
        <v>70</v>
      </c>
      <c r="B216" s="138"/>
      <c r="C216" s="91" t="s">
        <v>11</v>
      </c>
      <c r="D216" s="166"/>
      <c r="E216" s="166"/>
      <c r="F216" s="168"/>
      <c r="G216" s="170"/>
      <c r="H216" s="172"/>
      <c r="I216" s="172"/>
      <c r="J216" s="168"/>
      <c r="K216" s="168"/>
      <c r="L216" s="168"/>
      <c r="M216" s="168"/>
      <c r="N216" s="170"/>
      <c r="O216" s="172"/>
      <c r="P216" s="172"/>
      <c r="Q216" s="168"/>
      <c r="R216" s="168"/>
      <c r="S216" s="168"/>
      <c r="T216" s="174"/>
      <c r="U216" s="170"/>
      <c r="V216" s="172"/>
      <c r="W216" s="172"/>
      <c r="X216" s="168"/>
      <c r="Y216" s="168"/>
      <c r="Z216" s="170"/>
      <c r="AA216" s="170"/>
      <c r="AB216" s="168"/>
      <c r="AC216" s="172"/>
      <c r="AD216" s="172"/>
      <c r="AE216" s="172"/>
      <c r="AF216" s="172"/>
      <c r="AG216" s="168"/>
      <c r="AH216" s="176"/>
      <c r="AI216" s="159">
        <f t="shared" ref="AI216" si="117">SUM(D216:AH216)</f>
        <v>0</v>
      </c>
      <c r="AJ216" s="87"/>
      <c r="AK216" s="18"/>
      <c r="AL216" s="26"/>
      <c r="AM216" s="100">
        <f>SUMIF(D218:AH218, "CO", D216:AH216) + SUMIF(D218:AH218, "CO", D217:AH217)</f>
        <v>0</v>
      </c>
      <c r="AN216" s="61">
        <f ca="1">SUM(AI216:CA216)</f>
        <v>0</v>
      </c>
      <c r="AO216" s="27"/>
      <c r="AP216" s="77"/>
      <c r="AQ216" s="127"/>
      <c r="AR216" s="5"/>
      <c r="AS216" s="115"/>
      <c r="AT216" s="115"/>
      <c r="AU216" s="115"/>
      <c r="AV216" s="115"/>
      <c r="AW216" s="115"/>
      <c r="AX216" s="115"/>
      <c r="AY216" s="115"/>
      <c r="AZ216" s="115"/>
      <c r="BA216" s="115"/>
      <c r="BB216" s="113"/>
      <c r="BC216" s="113"/>
      <c r="BD216" s="115"/>
      <c r="BE216" s="115"/>
      <c r="BF216" s="115"/>
      <c r="BG216" s="115"/>
      <c r="BH216" s="115"/>
      <c r="BI216" s="115"/>
      <c r="BJ216" s="115"/>
      <c r="BK216" s="115"/>
      <c r="BL216" s="115"/>
      <c r="BM216" s="115"/>
      <c r="BN216" s="115"/>
    </row>
    <row r="217" spans="1:66" s="2" customFormat="1" ht="22" thickBot="1" x14ac:dyDescent="0.3">
      <c r="A217" s="142"/>
      <c r="B217" s="139"/>
      <c r="C217" s="3" t="s">
        <v>12</v>
      </c>
      <c r="D217" s="167"/>
      <c r="E217" s="167"/>
      <c r="F217" s="169"/>
      <c r="G217" s="171"/>
      <c r="H217" s="173"/>
      <c r="I217" s="173"/>
      <c r="J217" s="169"/>
      <c r="K217" s="169"/>
      <c r="L217" s="169"/>
      <c r="M217" s="169"/>
      <c r="N217" s="171"/>
      <c r="O217" s="173"/>
      <c r="P217" s="173"/>
      <c r="Q217" s="169"/>
      <c r="R217" s="169"/>
      <c r="S217" s="169"/>
      <c r="T217" s="175"/>
      <c r="U217" s="171"/>
      <c r="V217" s="173"/>
      <c r="W217" s="173"/>
      <c r="X217" s="169"/>
      <c r="Y217" s="169"/>
      <c r="Z217" s="171"/>
      <c r="AA217" s="171"/>
      <c r="AB217" s="169"/>
      <c r="AC217" s="173"/>
      <c r="AD217" s="173"/>
      <c r="AE217" s="173"/>
      <c r="AF217" s="173"/>
      <c r="AG217" s="169"/>
      <c r="AH217" s="177"/>
      <c r="AI217" s="160"/>
      <c r="AJ217" s="11"/>
      <c r="AK217" s="7"/>
      <c r="AL217" s="7"/>
      <c r="AM217" s="11"/>
      <c r="AN217" s="59"/>
      <c r="AO217" s="5"/>
      <c r="AP217" s="78"/>
      <c r="AQ217" s="127"/>
      <c r="AR217" s="5"/>
      <c r="AS217" s="115"/>
      <c r="AT217" s="115"/>
      <c r="AU217" s="115"/>
      <c r="AV217" s="115"/>
      <c r="AW217" s="115"/>
      <c r="AX217" s="115"/>
      <c r="AY217" s="115"/>
      <c r="AZ217" s="115"/>
      <c r="BA217" s="115"/>
      <c r="BB217" s="113"/>
      <c r="BC217" s="113"/>
      <c r="BD217" s="115"/>
      <c r="BE217" s="115"/>
      <c r="BF217" s="115"/>
      <c r="BG217" s="115"/>
      <c r="BH217" s="115"/>
      <c r="BI217" s="115"/>
      <c r="BJ217" s="115"/>
      <c r="BK217" s="115"/>
      <c r="BL217" s="115"/>
      <c r="BM217" s="115"/>
      <c r="BN217" s="115"/>
    </row>
    <row r="218" spans="1:66" s="2" customFormat="1" ht="20" thickBot="1" x14ac:dyDescent="0.3">
      <c r="A218" s="178"/>
      <c r="B218" s="140"/>
      <c r="C218" s="92" t="s">
        <v>4</v>
      </c>
      <c r="D218" s="88"/>
      <c r="E218" s="88"/>
      <c r="F218" s="88"/>
      <c r="G218" s="89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90"/>
      <c r="AI218" s="36"/>
      <c r="AJ218" s="34"/>
      <c r="AK218" s="28"/>
      <c r="AL218" s="28"/>
      <c r="AM218" s="34"/>
      <c r="AN218" s="60"/>
      <c r="AO218" s="30"/>
      <c r="AP218" s="74"/>
      <c r="AQ218" s="127"/>
      <c r="AR218" s="5"/>
      <c r="AS218" s="115"/>
      <c r="AT218" s="115"/>
      <c r="AU218" s="115"/>
      <c r="AV218" s="115"/>
      <c r="AW218" s="115"/>
      <c r="AX218" s="115"/>
      <c r="AY218" s="115"/>
      <c r="AZ218" s="115"/>
      <c r="BA218" s="115"/>
      <c r="BB218" s="113"/>
      <c r="BC218" s="113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115"/>
      <c r="BN218" s="115"/>
    </row>
    <row r="219" spans="1:66" s="2" customFormat="1" ht="21" thickTop="1" thickBot="1" x14ac:dyDescent="0.3">
      <c r="A219" s="144">
        <v>71</v>
      </c>
      <c r="B219" s="138"/>
      <c r="C219" s="91" t="s">
        <v>11</v>
      </c>
      <c r="D219" s="166"/>
      <c r="E219" s="166"/>
      <c r="F219" s="168"/>
      <c r="G219" s="170"/>
      <c r="H219" s="172"/>
      <c r="I219" s="172"/>
      <c r="J219" s="168"/>
      <c r="K219" s="168"/>
      <c r="L219" s="168"/>
      <c r="M219" s="168"/>
      <c r="N219" s="170"/>
      <c r="O219" s="172"/>
      <c r="P219" s="172"/>
      <c r="Q219" s="168"/>
      <c r="R219" s="168"/>
      <c r="S219" s="168"/>
      <c r="T219" s="174"/>
      <c r="U219" s="170"/>
      <c r="V219" s="172"/>
      <c r="W219" s="172"/>
      <c r="X219" s="168"/>
      <c r="Y219" s="168"/>
      <c r="Z219" s="170"/>
      <c r="AA219" s="170"/>
      <c r="AB219" s="168"/>
      <c r="AC219" s="172"/>
      <c r="AD219" s="172"/>
      <c r="AE219" s="172"/>
      <c r="AF219" s="172"/>
      <c r="AG219" s="168"/>
      <c r="AH219" s="176"/>
      <c r="AI219" s="159">
        <f t="shared" ref="AI219" si="118">SUM(D219:AH219)</f>
        <v>0</v>
      </c>
      <c r="AJ219" s="86"/>
      <c r="AK219" s="18"/>
      <c r="AL219" s="26"/>
      <c r="AM219" s="99">
        <f>SUMIF(D221:AH221, "CO", D219:AH219) + SUMIF(D221:AH221, "CO", D220:AH220)</f>
        <v>0</v>
      </c>
      <c r="AN219" s="61">
        <f ca="1">SUM(AI219:CA219)</f>
        <v>0</v>
      </c>
      <c r="AO219" s="27"/>
      <c r="AP219" s="77"/>
      <c r="AQ219" s="127"/>
      <c r="AR219" s="5"/>
      <c r="AS219" s="115"/>
      <c r="AT219" s="115"/>
      <c r="AU219" s="115"/>
      <c r="AV219" s="115"/>
      <c r="AW219" s="115"/>
      <c r="AX219" s="115"/>
      <c r="AY219" s="115"/>
      <c r="AZ219" s="115"/>
      <c r="BA219" s="115"/>
      <c r="BB219" s="113"/>
      <c r="BC219" s="113"/>
      <c r="BD219" s="115"/>
      <c r="BE219" s="115"/>
      <c r="BF219" s="115"/>
      <c r="BG219" s="115"/>
      <c r="BH219" s="115"/>
      <c r="BI219" s="115"/>
      <c r="BJ219" s="115"/>
      <c r="BK219" s="115"/>
      <c r="BL219" s="115"/>
      <c r="BM219" s="115"/>
      <c r="BN219" s="115"/>
    </row>
    <row r="220" spans="1:66" s="2" customFormat="1" ht="22" thickBot="1" x14ac:dyDescent="0.3">
      <c r="A220" s="142"/>
      <c r="B220" s="139"/>
      <c r="C220" s="3" t="s">
        <v>12</v>
      </c>
      <c r="D220" s="167"/>
      <c r="E220" s="167"/>
      <c r="F220" s="169"/>
      <c r="G220" s="171"/>
      <c r="H220" s="173"/>
      <c r="I220" s="173"/>
      <c r="J220" s="169"/>
      <c r="K220" s="169"/>
      <c r="L220" s="169"/>
      <c r="M220" s="169"/>
      <c r="N220" s="171"/>
      <c r="O220" s="173"/>
      <c r="P220" s="173"/>
      <c r="Q220" s="169"/>
      <c r="R220" s="169"/>
      <c r="S220" s="169"/>
      <c r="T220" s="175"/>
      <c r="U220" s="171"/>
      <c r="V220" s="173"/>
      <c r="W220" s="173"/>
      <c r="X220" s="169"/>
      <c r="Y220" s="169"/>
      <c r="Z220" s="171"/>
      <c r="AA220" s="171"/>
      <c r="AB220" s="169"/>
      <c r="AC220" s="173"/>
      <c r="AD220" s="173"/>
      <c r="AE220" s="173"/>
      <c r="AF220" s="173"/>
      <c r="AG220" s="169"/>
      <c r="AH220" s="177"/>
      <c r="AI220" s="160"/>
      <c r="AJ220" s="11"/>
      <c r="AK220" s="7"/>
      <c r="AL220" s="7"/>
      <c r="AM220" s="11"/>
      <c r="AN220" s="59"/>
      <c r="AO220" s="5"/>
      <c r="AP220" s="78"/>
      <c r="AQ220" s="127"/>
      <c r="AR220" s="5"/>
      <c r="AS220" s="115"/>
      <c r="AT220" s="115"/>
      <c r="AU220" s="115"/>
      <c r="AV220" s="115"/>
      <c r="AW220" s="115"/>
      <c r="AX220" s="115"/>
      <c r="AY220" s="115"/>
      <c r="AZ220" s="115"/>
      <c r="BA220" s="115"/>
      <c r="BB220" s="113"/>
      <c r="BC220" s="113"/>
      <c r="BD220" s="115"/>
      <c r="BE220" s="115"/>
      <c r="BF220" s="115"/>
      <c r="BG220" s="115"/>
      <c r="BH220" s="115"/>
      <c r="BI220" s="115"/>
      <c r="BJ220" s="115"/>
      <c r="BK220" s="115"/>
      <c r="BL220" s="115"/>
      <c r="BM220" s="115"/>
      <c r="BN220" s="115"/>
    </row>
    <row r="221" spans="1:66" s="2" customFormat="1" ht="20" thickBot="1" x14ac:dyDescent="0.3">
      <c r="A221" s="178"/>
      <c r="B221" s="140"/>
      <c r="C221" s="92" t="s">
        <v>4</v>
      </c>
      <c r="D221" s="88"/>
      <c r="E221" s="88"/>
      <c r="F221" s="88"/>
      <c r="G221" s="89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90"/>
      <c r="AI221" s="36"/>
      <c r="AJ221" s="34"/>
      <c r="AK221" s="47"/>
      <c r="AL221" s="47"/>
      <c r="AM221" s="34"/>
      <c r="AN221" s="62"/>
      <c r="AO221" s="48"/>
      <c r="AP221" s="79"/>
      <c r="AQ221" s="128"/>
      <c r="AR221" s="5"/>
      <c r="AS221" s="115"/>
      <c r="AT221" s="115"/>
      <c r="AU221" s="115"/>
      <c r="AV221" s="115"/>
      <c r="AW221" s="115"/>
      <c r="AX221" s="115"/>
      <c r="AY221" s="115"/>
      <c r="AZ221" s="115"/>
      <c r="BA221" s="115"/>
      <c r="BB221" s="113"/>
      <c r="BC221" s="113"/>
      <c r="BD221" s="115"/>
      <c r="BE221" s="115"/>
      <c r="BF221" s="115"/>
      <c r="BG221" s="115"/>
      <c r="BH221" s="115"/>
      <c r="BI221" s="115"/>
      <c r="BJ221" s="115"/>
      <c r="BK221" s="115"/>
      <c r="BL221" s="115"/>
      <c r="BM221" s="115"/>
      <c r="BN221" s="115"/>
    </row>
    <row r="222" spans="1:66" s="2" customFormat="1" ht="20" thickTop="1" x14ac:dyDescent="0.25">
      <c r="A222" s="188">
        <v>72</v>
      </c>
      <c r="B222" s="138"/>
      <c r="C222" s="91" t="s">
        <v>11</v>
      </c>
      <c r="D222" s="166"/>
      <c r="E222" s="166"/>
      <c r="F222" s="168"/>
      <c r="G222" s="170"/>
      <c r="H222" s="172"/>
      <c r="I222" s="172"/>
      <c r="J222" s="168"/>
      <c r="K222" s="168"/>
      <c r="L222" s="168"/>
      <c r="M222" s="168"/>
      <c r="N222" s="170"/>
      <c r="O222" s="172"/>
      <c r="P222" s="172"/>
      <c r="Q222" s="168"/>
      <c r="R222" s="168"/>
      <c r="S222" s="168"/>
      <c r="T222" s="174"/>
      <c r="U222" s="170"/>
      <c r="V222" s="172"/>
      <c r="W222" s="172"/>
      <c r="X222" s="168"/>
      <c r="Y222" s="168"/>
      <c r="Z222" s="170"/>
      <c r="AA222" s="170"/>
      <c r="AB222" s="168"/>
      <c r="AC222" s="172"/>
      <c r="AD222" s="172"/>
      <c r="AE222" s="172"/>
      <c r="AF222" s="172"/>
      <c r="AG222" s="168"/>
      <c r="AH222" s="176"/>
      <c r="AI222" s="159">
        <f t="shared" ref="AI222" si="119">SUM(D222:AH222)</f>
        <v>0</v>
      </c>
      <c r="AJ222" s="87"/>
      <c r="AK222" s="7"/>
      <c r="AL222" s="7"/>
      <c r="AM222" s="100">
        <f>SUMIF(D224:AH224, "CO", D222:AH222) + SUMIF(D224:AH224, "CO", D223:AH223)</f>
        <v>0</v>
      </c>
      <c r="AN222" s="59">
        <f ca="1">SUM(AI222:CA222)</f>
        <v>0</v>
      </c>
      <c r="AO222" s="5"/>
      <c r="AP222" s="73"/>
      <c r="AQ222" s="129"/>
      <c r="AR222" s="5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113"/>
      <c r="BC222" s="113"/>
      <c r="BD222" s="115"/>
      <c r="BE222" s="115"/>
      <c r="BF222" s="115"/>
      <c r="BG222" s="115"/>
      <c r="BH222" s="115"/>
      <c r="BI222" s="115"/>
      <c r="BJ222" s="115"/>
      <c r="BK222" s="115"/>
      <c r="BL222" s="115"/>
      <c r="BM222" s="115"/>
      <c r="BN222" s="115"/>
    </row>
    <row r="223" spans="1:66" s="2" customFormat="1" ht="21" x14ac:dyDescent="0.25">
      <c r="A223" s="142"/>
      <c r="B223" s="139"/>
      <c r="C223" s="3" t="s">
        <v>12</v>
      </c>
      <c r="D223" s="167"/>
      <c r="E223" s="167"/>
      <c r="F223" s="169"/>
      <c r="G223" s="171"/>
      <c r="H223" s="173"/>
      <c r="I223" s="173"/>
      <c r="J223" s="169"/>
      <c r="K223" s="169"/>
      <c r="L223" s="169"/>
      <c r="M223" s="169"/>
      <c r="N223" s="171"/>
      <c r="O223" s="173"/>
      <c r="P223" s="173"/>
      <c r="Q223" s="169"/>
      <c r="R223" s="169"/>
      <c r="S223" s="169"/>
      <c r="T223" s="175"/>
      <c r="U223" s="171"/>
      <c r="V223" s="173"/>
      <c r="W223" s="173"/>
      <c r="X223" s="169"/>
      <c r="Y223" s="169"/>
      <c r="Z223" s="171"/>
      <c r="AA223" s="171"/>
      <c r="AB223" s="169"/>
      <c r="AC223" s="173"/>
      <c r="AD223" s="173"/>
      <c r="AE223" s="173"/>
      <c r="AF223" s="173"/>
      <c r="AG223" s="169"/>
      <c r="AH223" s="177"/>
      <c r="AI223" s="160"/>
      <c r="AJ223" s="11"/>
      <c r="AK223" s="7"/>
      <c r="AL223" s="7"/>
      <c r="AM223" s="11"/>
      <c r="AN223" s="59"/>
      <c r="AO223" s="5"/>
      <c r="AP223" s="78"/>
      <c r="AQ223" s="129"/>
      <c r="AR223" s="5"/>
      <c r="AS223" s="115"/>
      <c r="AT223" s="115"/>
      <c r="AU223" s="115"/>
      <c r="AV223" s="115"/>
      <c r="AW223" s="115"/>
      <c r="AX223" s="115"/>
      <c r="AY223" s="115"/>
      <c r="AZ223" s="115"/>
      <c r="BA223" s="115"/>
      <c r="BB223" s="113"/>
      <c r="BC223" s="113"/>
      <c r="BD223" s="115"/>
      <c r="BE223" s="115"/>
      <c r="BF223" s="115"/>
      <c r="BG223" s="115"/>
      <c r="BH223" s="115"/>
      <c r="BI223" s="115"/>
      <c r="BJ223" s="115"/>
      <c r="BK223" s="115"/>
      <c r="BL223" s="115"/>
      <c r="BM223" s="115"/>
      <c r="BN223" s="115"/>
    </row>
    <row r="224" spans="1:66" s="2" customFormat="1" ht="22" thickBot="1" x14ac:dyDescent="0.3">
      <c r="A224" s="178"/>
      <c r="B224" s="140"/>
      <c r="C224" s="92" t="s">
        <v>4</v>
      </c>
      <c r="D224" s="88"/>
      <c r="E224" s="88"/>
      <c r="F224" s="88"/>
      <c r="G224" s="89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90"/>
      <c r="AI224" s="36"/>
      <c r="AJ224" s="34"/>
      <c r="AK224" s="7"/>
      <c r="AL224" s="7"/>
      <c r="AM224" s="34"/>
      <c r="AN224" s="59"/>
      <c r="AO224" s="5"/>
      <c r="AP224" s="78"/>
      <c r="AQ224" s="129"/>
      <c r="AR224" s="5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113"/>
      <c r="BC224" s="113"/>
      <c r="BD224" s="115"/>
      <c r="BE224" s="115"/>
      <c r="BF224" s="115"/>
      <c r="BG224" s="115"/>
      <c r="BH224" s="115"/>
      <c r="BI224" s="115"/>
      <c r="BJ224" s="115"/>
      <c r="BK224" s="115"/>
      <c r="BL224" s="115"/>
      <c r="BM224" s="115"/>
      <c r="BN224" s="115"/>
    </row>
    <row r="225" spans="1:44" ht="20" thickTop="1" x14ac:dyDescent="0.25">
      <c r="A225" s="188">
        <v>73</v>
      </c>
      <c r="B225" s="138"/>
      <c r="C225" s="91" t="s">
        <v>11</v>
      </c>
      <c r="D225" s="166"/>
      <c r="E225" s="166"/>
      <c r="F225" s="168"/>
      <c r="G225" s="170"/>
      <c r="H225" s="172"/>
      <c r="I225" s="172"/>
      <c r="J225" s="168"/>
      <c r="K225" s="168"/>
      <c r="L225" s="168"/>
      <c r="M225" s="168"/>
      <c r="N225" s="170"/>
      <c r="O225" s="172"/>
      <c r="P225" s="172"/>
      <c r="Q225" s="168"/>
      <c r="R225" s="168"/>
      <c r="S225" s="168"/>
      <c r="T225" s="174"/>
      <c r="U225" s="170"/>
      <c r="V225" s="172"/>
      <c r="W225" s="172"/>
      <c r="X225" s="168"/>
      <c r="Y225" s="168"/>
      <c r="Z225" s="170"/>
      <c r="AA225" s="170"/>
      <c r="AB225" s="168"/>
      <c r="AC225" s="172"/>
      <c r="AD225" s="172"/>
      <c r="AE225" s="172"/>
      <c r="AF225" s="172"/>
      <c r="AG225" s="168"/>
      <c r="AH225" s="176"/>
      <c r="AI225" s="159">
        <f t="shared" ref="AI225" si="120">SUM(D225:AH225)</f>
        <v>0</v>
      </c>
      <c r="AJ225" s="86"/>
      <c r="AK225" s="7"/>
      <c r="AL225" s="7"/>
      <c r="AM225" s="99">
        <f>SUMIF(D227:AH227, "CO", D225:AH225) + SUMIF(D227:AH227, "CO", D226:AH226)</f>
        <v>0</v>
      </c>
      <c r="AN225" s="59">
        <f ca="1">SUM(AI225:CA225)</f>
        <v>0</v>
      </c>
      <c r="AO225" s="5"/>
      <c r="AP225" s="73"/>
      <c r="AQ225" s="129"/>
      <c r="AR225" s="5"/>
    </row>
    <row r="226" spans="1:44" ht="21" x14ac:dyDescent="0.25">
      <c r="A226" s="142"/>
      <c r="B226" s="139"/>
      <c r="C226" s="3" t="s">
        <v>12</v>
      </c>
      <c r="D226" s="167"/>
      <c r="E226" s="167"/>
      <c r="F226" s="169"/>
      <c r="G226" s="171"/>
      <c r="H226" s="173"/>
      <c r="I226" s="173"/>
      <c r="J226" s="169"/>
      <c r="K226" s="169"/>
      <c r="L226" s="169"/>
      <c r="M226" s="169"/>
      <c r="N226" s="171"/>
      <c r="O226" s="173"/>
      <c r="P226" s="173"/>
      <c r="Q226" s="169"/>
      <c r="R226" s="169"/>
      <c r="S226" s="169"/>
      <c r="T226" s="175"/>
      <c r="U226" s="171"/>
      <c r="V226" s="173"/>
      <c r="W226" s="173"/>
      <c r="X226" s="169"/>
      <c r="Y226" s="169"/>
      <c r="Z226" s="171"/>
      <c r="AA226" s="171"/>
      <c r="AB226" s="169"/>
      <c r="AC226" s="173"/>
      <c r="AD226" s="173"/>
      <c r="AE226" s="173"/>
      <c r="AF226" s="173"/>
      <c r="AG226" s="169"/>
      <c r="AH226" s="177"/>
      <c r="AI226" s="160"/>
      <c r="AJ226" s="11"/>
      <c r="AK226" s="7"/>
      <c r="AL226" s="7"/>
      <c r="AM226" s="11"/>
      <c r="AN226" s="59"/>
      <c r="AO226" s="5"/>
      <c r="AP226" s="78"/>
      <c r="AQ226" s="129"/>
      <c r="AR226" s="5"/>
    </row>
    <row r="227" spans="1:44" ht="22" thickBot="1" x14ac:dyDescent="0.3">
      <c r="A227" s="178"/>
      <c r="B227" s="140"/>
      <c r="C227" s="92" t="s">
        <v>4</v>
      </c>
      <c r="D227" s="88"/>
      <c r="E227" s="88"/>
      <c r="F227" s="88"/>
      <c r="G227" s="89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90"/>
      <c r="AI227" s="36"/>
      <c r="AJ227" s="34"/>
      <c r="AK227" s="7"/>
      <c r="AL227" s="7"/>
      <c r="AM227" s="34"/>
      <c r="AN227" s="59"/>
      <c r="AO227" s="5"/>
      <c r="AP227" s="78"/>
      <c r="AQ227" s="129"/>
      <c r="AR227" s="5"/>
    </row>
    <row r="228" spans="1:44" ht="20" thickTop="1" x14ac:dyDescent="0.25">
      <c r="A228" s="144">
        <v>74</v>
      </c>
      <c r="B228" s="179"/>
      <c r="C228" s="93" t="s">
        <v>11</v>
      </c>
      <c r="D228" s="182"/>
      <c r="E228" s="182"/>
      <c r="F228" s="184"/>
      <c r="G228" s="186"/>
      <c r="H228" s="184"/>
      <c r="I228" s="184"/>
      <c r="J228" s="184"/>
      <c r="K228" s="184"/>
      <c r="L228" s="184"/>
      <c r="M228" s="184"/>
      <c r="N228" s="186"/>
      <c r="O228" s="184"/>
      <c r="P228" s="184"/>
      <c r="Q228" s="184"/>
      <c r="R228" s="184"/>
      <c r="S228" s="184"/>
      <c r="T228" s="186"/>
      <c r="U228" s="186"/>
      <c r="V228" s="184"/>
      <c r="W228" s="184"/>
      <c r="X228" s="184"/>
      <c r="Y228" s="184"/>
      <c r="Z228" s="186"/>
      <c r="AA228" s="186"/>
      <c r="AB228" s="184"/>
      <c r="AC228" s="184"/>
      <c r="AD228" s="184"/>
      <c r="AE228" s="184"/>
      <c r="AF228" s="184"/>
      <c r="AG228" s="184"/>
      <c r="AH228" s="190"/>
      <c r="AI228" s="159">
        <f t="shared" ref="AI228" si="121">SUM(D228:AH228)</f>
        <v>0</v>
      </c>
      <c r="AJ228" s="87"/>
      <c r="AK228" s="7"/>
      <c r="AL228" s="7"/>
      <c r="AM228" s="100">
        <f>SUMIF(D230:AH230, "CO", D228:AH228) + SUMIF(D230:AH230, "CO", D229:AH229)</f>
        <v>0</v>
      </c>
      <c r="AN228" s="59">
        <f ca="1">SUM(AI228:CA228)</f>
        <v>0</v>
      </c>
      <c r="AO228" s="5"/>
      <c r="AP228" s="73"/>
      <c r="AQ228" s="129"/>
      <c r="AR228" s="5"/>
    </row>
    <row r="229" spans="1:44" ht="21" x14ac:dyDescent="0.25">
      <c r="A229" s="142"/>
      <c r="B229" s="180"/>
      <c r="C229" s="94" t="s">
        <v>12</v>
      </c>
      <c r="D229" s="183"/>
      <c r="E229" s="183"/>
      <c r="F229" s="185"/>
      <c r="G229" s="187"/>
      <c r="H229" s="185"/>
      <c r="I229" s="185"/>
      <c r="J229" s="185"/>
      <c r="K229" s="185"/>
      <c r="L229" s="185"/>
      <c r="M229" s="185"/>
      <c r="N229" s="187"/>
      <c r="O229" s="185"/>
      <c r="P229" s="185"/>
      <c r="Q229" s="185"/>
      <c r="R229" s="185"/>
      <c r="S229" s="185"/>
      <c r="T229" s="187"/>
      <c r="U229" s="187"/>
      <c r="V229" s="185"/>
      <c r="W229" s="185"/>
      <c r="X229" s="185"/>
      <c r="Y229" s="185"/>
      <c r="Z229" s="187"/>
      <c r="AA229" s="187"/>
      <c r="AB229" s="185"/>
      <c r="AC229" s="185"/>
      <c r="AD229" s="185"/>
      <c r="AE229" s="185"/>
      <c r="AF229" s="185"/>
      <c r="AG229" s="185"/>
      <c r="AH229" s="191"/>
      <c r="AI229" s="160"/>
      <c r="AJ229" s="11"/>
      <c r="AK229" s="7"/>
      <c r="AL229" s="7"/>
      <c r="AM229" s="11"/>
      <c r="AN229" s="59"/>
      <c r="AO229" s="5"/>
      <c r="AP229" s="78"/>
      <c r="AQ229" s="129"/>
      <c r="AR229" s="5"/>
    </row>
    <row r="230" spans="1:44" ht="22" thickBot="1" x14ac:dyDescent="0.3">
      <c r="A230" s="178"/>
      <c r="B230" s="181"/>
      <c r="C230" s="92" t="s">
        <v>4</v>
      </c>
      <c r="D230" s="95"/>
      <c r="E230" s="95"/>
      <c r="F230" s="95"/>
      <c r="G230" s="96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7"/>
      <c r="AI230" s="36"/>
      <c r="AJ230" s="34"/>
      <c r="AK230" s="7"/>
      <c r="AL230" s="7"/>
      <c r="AM230" s="34"/>
      <c r="AN230" s="59"/>
      <c r="AO230" s="5"/>
      <c r="AP230" s="78"/>
      <c r="AQ230" s="129"/>
      <c r="AR230" s="5"/>
    </row>
    <row r="231" spans="1:44" ht="20" thickTop="1" x14ac:dyDescent="0.25">
      <c r="A231" s="188">
        <v>75</v>
      </c>
      <c r="B231" s="189"/>
      <c r="C231" s="98" t="s">
        <v>11</v>
      </c>
      <c r="D231" s="182"/>
      <c r="E231" s="182"/>
      <c r="F231" s="184"/>
      <c r="G231" s="186"/>
      <c r="H231" s="184"/>
      <c r="I231" s="184"/>
      <c r="J231" s="184"/>
      <c r="K231" s="184"/>
      <c r="L231" s="184"/>
      <c r="M231" s="184"/>
      <c r="N231" s="186"/>
      <c r="O231" s="184"/>
      <c r="P231" s="184"/>
      <c r="Q231" s="184"/>
      <c r="R231" s="184"/>
      <c r="S231" s="184"/>
      <c r="T231" s="186"/>
      <c r="U231" s="186"/>
      <c r="V231" s="184"/>
      <c r="W231" s="184"/>
      <c r="X231" s="184"/>
      <c r="Y231" s="184"/>
      <c r="Z231" s="186"/>
      <c r="AA231" s="186"/>
      <c r="AB231" s="184"/>
      <c r="AC231" s="184"/>
      <c r="AD231" s="184"/>
      <c r="AE231" s="184"/>
      <c r="AF231" s="184"/>
      <c r="AG231" s="184"/>
      <c r="AH231" s="190"/>
      <c r="AI231" s="159">
        <f t="shared" ref="AI231" si="122">SUM(D231:AH231)</f>
        <v>0</v>
      </c>
      <c r="AJ231" s="86"/>
      <c r="AK231" s="7"/>
      <c r="AL231" s="7"/>
      <c r="AM231" s="99">
        <f>SUMIF(D233:AH233, "CO", D231:AH231) + SUMIF(D233:AH233, "CO", D232:AH232)</f>
        <v>0</v>
      </c>
      <c r="AN231" s="59">
        <f ca="1">SUM(AI231:CA231)</f>
        <v>0</v>
      </c>
      <c r="AO231" s="5"/>
      <c r="AP231" s="73"/>
      <c r="AQ231" s="129"/>
      <c r="AR231" s="5"/>
    </row>
    <row r="232" spans="1:44" ht="21" x14ac:dyDescent="0.25">
      <c r="A232" s="142"/>
      <c r="B232" s="180"/>
      <c r="C232" s="94" t="s">
        <v>12</v>
      </c>
      <c r="D232" s="183"/>
      <c r="E232" s="183"/>
      <c r="F232" s="185"/>
      <c r="G232" s="187"/>
      <c r="H232" s="185"/>
      <c r="I232" s="185"/>
      <c r="J232" s="185"/>
      <c r="K232" s="185"/>
      <c r="L232" s="185"/>
      <c r="M232" s="185"/>
      <c r="N232" s="187"/>
      <c r="O232" s="185"/>
      <c r="P232" s="185"/>
      <c r="Q232" s="185"/>
      <c r="R232" s="185"/>
      <c r="S232" s="185"/>
      <c r="T232" s="187"/>
      <c r="U232" s="187"/>
      <c r="V232" s="185"/>
      <c r="W232" s="185"/>
      <c r="X232" s="185"/>
      <c r="Y232" s="185"/>
      <c r="Z232" s="187"/>
      <c r="AA232" s="187"/>
      <c r="AB232" s="185"/>
      <c r="AC232" s="185"/>
      <c r="AD232" s="185"/>
      <c r="AE232" s="185"/>
      <c r="AF232" s="185"/>
      <c r="AG232" s="185"/>
      <c r="AH232" s="191"/>
      <c r="AI232" s="160"/>
      <c r="AJ232" s="11"/>
      <c r="AK232" s="7"/>
      <c r="AL232" s="7"/>
      <c r="AM232" s="11"/>
      <c r="AN232" s="59"/>
      <c r="AO232" s="5"/>
      <c r="AP232" s="78"/>
      <c r="AQ232" s="129"/>
      <c r="AR232" s="5"/>
    </row>
    <row r="233" spans="1:44" ht="22" thickBot="1" x14ac:dyDescent="0.3">
      <c r="A233" s="178"/>
      <c r="B233" s="181"/>
      <c r="C233" s="92" t="s">
        <v>4</v>
      </c>
      <c r="D233" s="95"/>
      <c r="E233" s="95"/>
      <c r="F233" s="95"/>
      <c r="G233" s="96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7"/>
      <c r="AI233" s="36"/>
      <c r="AJ233" s="34"/>
      <c r="AK233" s="7"/>
      <c r="AL233" s="7"/>
      <c r="AM233" s="34"/>
      <c r="AN233" s="59"/>
      <c r="AO233" s="5"/>
      <c r="AP233" s="78"/>
      <c r="AQ233" s="129"/>
      <c r="AR233" s="5"/>
    </row>
    <row r="234" spans="1:44" ht="20" thickTop="1" x14ac:dyDescent="0.25">
      <c r="A234" s="188">
        <v>76</v>
      </c>
      <c r="B234" s="189"/>
      <c r="C234" s="98" t="s">
        <v>11</v>
      </c>
      <c r="D234" s="182"/>
      <c r="E234" s="182"/>
      <c r="F234" s="184"/>
      <c r="G234" s="186"/>
      <c r="H234" s="184"/>
      <c r="I234" s="184"/>
      <c r="J234" s="184"/>
      <c r="K234" s="184"/>
      <c r="L234" s="184"/>
      <c r="M234" s="184"/>
      <c r="N234" s="186"/>
      <c r="O234" s="184"/>
      <c r="P234" s="184"/>
      <c r="Q234" s="184"/>
      <c r="R234" s="184"/>
      <c r="S234" s="184"/>
      <c r="T234" s="186"/>
      <c r="U234" s="186"/>
      <c r="V234" s="184"/>
      <c r="W234" s="184"/>
      <c r="X234" s="184"/>
      <c r="Y234" s="184"/>
      <c r="Z234" s="186"/>
      <c r="AA234" s="186"/>
      <c r="AB234" s="184"/>
      <c r="AC234" s="184"/>
      <c r="AD234" s="184"/>
      <c r="AE234" s="184"/>
      <c r="AF234" s="184"/>
      <c r="AG234" s="184"/>
      <c r="AH234" s="190"/>
      <c r="AI234" s="159">
        <f t="shared" ref="AI234" si="123">SUM(D234:AH234)</f>
        <v>0</v>
      </c>
      <c r="AJ234" s="87"/>
      <c r="AK234" s="7"/>
      <c r="AL234" s="7"/>
      <c r="AM234" s="100">
        <f>SUMIF(D236:AH236, "CO", D234:AH234) + SUMIF(D236:AH236, "CO", D235:AH235)</f>
        <v>0</v>
      </c>
      <c r="AN234" s="59">
        <f ca="1">SUM(AI234:CA234)</f>
        <v>0</v>
      </c>
      <c r="AO234" s="5"/>
      <c r="AP234" s="73"/>
      <c r="AQ234" s="129"/>
      <c r="AR234" s="5"/>
    </row>
    <row r="235" spans="1:44" ht="21" x14ac:dyDescent="0.25">
      <c r="A235" s="142"/>
      <c r="B235" s="180"/>
      <c r="C235" s="94" t="s">
        <v>12</v>
      </c>
      <c r="D235" s="183"/>
      <c r="E235" s="183"/>
      <c r="F235" s="185"/>
      <c r="G235" s="187"/>
      <c r="H235" s="185"/>
      <c r="I235" s="185"/>
      <c r="J235" s="185"/>
      <c r="K235" s="185"/>
      <c r="L235" s="185"/>
      <c r="M235" s="185"/>
      <c r="N235" s="187"/>
      <c r="O235" s="185"/>
      <c r="P235" s="185"/>
      <c r="Q235" s="185"/>
      <c r="R235" s="185"/>
      <c r="S235" s="185"/>
      <c r="T235" s="187"/>
      <c r="U235" s="187"/>
      <c r="V235" s="185"/>
      <c r="W235" s="185"/>
      <c r="X235" s="185"/>
      <c r="Y235" s="185"/>
      <c r="Z235" s="187"/>
      <c r="AA235" s="187"/>
      <c r="AB235" s="185"/>
      <c r="AC235" s="185"/>
      <c r="AD235" s="185"/>
      <c r="AE235" s="185"/>
      <c r="AF235" s="185"/>
      <c r="AG235" s="185"/>
      <c r="AH235" s="191"/>
      <c r="AI235" s="160"/>
      <c r="AJ235" s="11"/>
      <c r="AK235" s="7"/>
      <c r="AL235" s="7"/>
      <c r="AM235" s="11"/>
      <c r="AN235" s="59"/>
      <c r="AO235" s="5"/>
      <c r="AP235" s="78"/>
      <c r="AQ235" s="129"/>
      <c r="AR235" s="5"/>
    </row>
    <row r="236" spans="1:44" ht="22" thickBot="1" x14ac:dyDescent="0.3">
      <c r="A236" s="178"/>
      <c r="B236" s="181"/>
      <c r="C236" s="92" t="s">
        <v>4</v>
      </c>
      <c r="D236" s="95"/>
      <c r="E236" s="95"/>
      <c r="F236" s="95"/>
      <c r="G236" s="96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7"/>
      <c r="AI236" s="36"/>
      <c r="AJ236" s="34"/>
      <c r="AK236" s="7"/>
      <c r="AL236" s="7"/>
      <c r="AM236" s="34"/>
      <c r="AN236" s="59"/>
      <c r="AO236" s="5"/>
      <c r="AP236" s="78"/>
      <c r="AQ236" s="129"/>
      <c r="AR236" s="5"/>
    </row>
    <row r="237" spans="1:44" ht="16" customHeight="1" thickTop="1" x14ac:dyDescent="0.25">
      <c r="A237" s="144">
        <v>77</v>
      </c>
      <c r="B237" s="189"/>
      <c r="C237" s="98" t="s">
        <v>11</v>
      </c>
      <c r="D237" s="182"/>
      <c r="E237" s="182"/>
      <c r="F237" s="184"/>
      <c r="G237" s="186"/>
      <c r="H237" s="184"/>
      <c r="I237" s="184"/>
      <c r="J237" s="184"/>
      <c r="K237" s="184"/>
      <c r="L237" s="184"/>
      <c r="M237" s="184"/>
      <c r="N237" s="186"/>
      <c r="O237" s="184"/>
      <c r="P237" s="184"/>
      <c r="Q237" s="184"/>
      <c r="R237" s="184"/>
      <c r="S237" s="184"/>
      <c r="T237" s="186"/>
      <c r="U237" s="186"/>
      <c r="V237" s="184"/>
      <c r="W237" s="184"/>
      <c r="X237" s="184"/>
      <c r="Y237" s="184"/>
      <c r="Z237" s="186"/>
      <c r="AA237" s="186"/>
      <c r="AB237" s="184"/>
      <c r="AC237" s="184"/>
      <c r="AD237" s="184"/>
      <c r="AE237" s="184"/>
      <c r="AF237" s="184"/>
      <c r="AG237" s="184"/>
      <c r="AH237" s="190"/>
      <c r="AI237" s="159">
        <f t="shared" ref="AI237" si="124">SUM(D237:AH237)</f>
        <v>0</v>
      </c>
      <c r="AJ237" s="86"/>
      <c r="AK237" s="7"/>
      <c r="AL237" s="7"/>
      <c r="AM237" s="99">
        <f>SUMIF(D239:AH239, "CO", D237:AH237) + SUMIF(D239:AH239, "CO", D238:AH238)</f>
        <v>0</v>
      </c>
      <c r="AN237" s="59">
        <f ca="1">SUM(AI237:CA237)</f>
        <v>0</v>
      </c>
      <c r="AO237" s="5"/>
      <c r="AP237" s="73"/>
      <c r="AQ237" s="129"/>
      <c r="AR237" s="5"/>
    </row>
    <row r="238" spans="1:44" ht="16" customHeight="1" x14ac:dyDescent="0.25">
      <c r="A238" s="142"/>
      <c r="B238" s="180"/>
      <c r="C238" s="94" t="s">
        <v>12</v>
      </c>
      <c r="D238" s="183"/>
      <c r="E238" s="183"/>
      <c r="F238" s="185"/>
      <c r="G238" s="187"/>
      <c r="H238" s="185"/>
      <c r="I238" s="185"/>
      <c r="J238" s="185"/>
      <c r="K238" s="185"/>
      <c r="L238" s="185"/>
      <c r="M238" s="185"/>
      <c r="N238" s="187"/>
      <c r="O238" s="185"/>
      <c r="P238" s="185"/>
      <c r="Q238" s="185"/>
      <c r="R238" s="185"/>
      <c r="S238" s="185"/>
      <c r="T238" s="187"/>
      <c r="U238" s="187"/>
      <c r="V238" s="185"/>
      <c r="W238" s="185"/>
      <c r="X238" s="185"/>
      <c r="Y238" s="185"/>
      <c r="Z238" s="187"/>
      <c r="AA238" s="187"/>
      <c r="AB238" s="185"/>
      <c r="AC238" s="185"/>
      <c r="AD238" s="185"/>
      <c r="AE238" s="185"/>
      <c r="AF238" s="185"/>
      <c r="AG238" s="185"/>
      <c r="AH238" s="191"/>
      <c r="AI238" s="160"/>
      <c r="AJ238" s="11"/>
      <c r="AK238" s="7"/>
      <c r="AL238" s="7"/>
      <c r="AM238" s="11"/>
      <c r="AN238" s="59"/>
      <c r="AO238" s="5"/>
      <c r="AP238" s="78"/>
      <c r="AQ238" s="129"/>
      <c r="AR238" s="5"/>
    </row>
    <row r="239" spans="1:44" ht="22" thickBot="1" x14ac:dyDescent="0.3">
      <c r="A239" s="178"/>
      <c r="B239" s="181"/>
      <c r="C239" s="92" t="s">
        <v>4</v>
      </c>
      <c r="D239" s="95"/>
      <c r="E239" s="95"/>
      <c r="F239" s="95"/>
      <c r="G239" s="96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7"/>
      <c r="AI239" s="36"/>
      <c r="AJ239" s="34"/>
      <c r="AK239" s="7"/>
      <c r="AL239" s="7"/>
      <c r="AM239" s="34"/>
      <c r="AN239" s="59"/>
      <c r="AO239" s="5"/>
      <c r="AP239" s="78"/>
      <c r="AQ239" s="129"/>
      <c r="AR239" s="5"/>
    </row>
    <row r="240" spans="1:44" ht="16" customHeight="1" thickTop="1" x14ac:dyDescent="0.25">
      <c r="A240" s="188">
        <v>78</v>
      </c>
      <c r="B240" s="189"/>
      <c r="C240" s="98" t="s">
        <v>11</v>
      </c>
      <c r="D240" s="182"/>
      <c r="E240" s="182"/>
      <c r="F240" s="184"/>
      <c r="G240" s="186"/>
      <c r="H240" s="184"/>
      <c r="I240" s="184"/>
      <c r="J240" s="184"/>
      <c r="K240" s="184"/>
      <c r="L240" s="184"/>
      <c r="M240" s="184"/>
      <c r="N240" s="186"/>
      <c r="O240" s="184"/>
      <c r="P240" s="184"/>
      <c r="Q240" s="184"/>
      <c r="R240" s="184"/>
      <c r="S240" s="184"/>
      <c r="T240" s="186"/>
      <c r="U240" s="186"/>
      <c r="V240" s="184"/>
      <c r="W240" s="184"/>
      <c r="X240" s="184"/>
      <c r="Y240" s="184"/>
      <c r="Z240" s="186"/>
      <c r="AA240" s="186"/>
      <c r="AB240" s="184"/>
      <c r="AC240" s="184"/>
      <c r="AD240" s="184"/>
      <c r="AE240" s="184"/>
      <c r="AF240" s="184"/>
      <c r="AG240" s="184"/>
      <c r="AH240" s="190"/>
      <c r="AI240" s="159">
        <f>SUM(D240:AH240)</f>
        <v>0</v>
      </c>
      <c r="AJ240" s="87"/>
      <c r="AK240" s="7"/>
      <c r="AL240" s="7"/>
      <c r="AM240" s="100">
        <f>SUMIF(D242:AH242, "CO", D240:AH240) + SUMIF(D242:AH242, "CO", D241:AH241)</f>
        <v>0</v>
      </c>
      <c r="AN240" s="59">
        <f ca="1">SUM(AI240:CA240)</f>
        <v>0</v>
      </c>
      <c r="AO240" s="5"/>
      <c r="AP240" s="73"/>
      <c r="AQ240" s="129"/>
      <c r="AR240" s="5"/>
    </row>
    <row r="241" spans="1:44" ht="16" customHeight="1" x14ac:dyDescent="0.25">
      <c r="A241" s="142"/>
      <c r="B241" s="180"/>
      <c r="C241" s="94" t="s">
        <v>12</v>
      </c>
      <c r="D241" s="183"/>
      <c r="E241" s="183"/>
      <c r="F241" s="185"/>
      <c r="G241" s="187"/>
      <c r="H241" s="185"/>
      <c r="I241" s="185"/>
      <c r="J241" s="185"/>
      <c r="K241" s="185"/>
      <c r="L241" s="185"/>
      <c r="M241" s="185"/>
      <c r="N241" s="187"/>
      <c r="O241" s="185"/>
      <c r="P241" s="185"/>
      <c r="Q241" s="185"/>
      <c r="R241" s="185"/>
      <c r="S241" s="185"/>
      <c r="T241" s="187"/>
      <c r="U241" s="187"/>
      <c r="V241" s="185"/>
      <c r="W241" s="185"/>
      <c r="X241" s="185"/>
      <c r="Y241" s="185"/>
      <c r="Z241" s="187"/>
      <c r="AA241" s="187"/>
      <c r="AB241" s="185"/>
      <c r="AC241" s="185"/>
      <c r="AD241" s="185"/>
      <c r="AE241" s="185"/>
      <c r="AF241" s="185"/>
      <c r="AG241" s="185"/>
      <c r="AH241" s="191"/>
      <c r="AI241" s="160"/>
      <c r="AJ241" s="11"/>
      <c r="AK241" s="7"/>
      <c r="AL241" s="7"/>
      <c r="AM241" s="11"/>
      <c r="AN241" s="59"/>
      <c r="AO241" s="5"/>
      <c r="AP241" s="78"/>
      <c r="AQ241" s="129"/>
      <c r="AR241" s="5"/>
    </row>
    <row r="242" spans="1:44" ht="22" thickBot="1" x14ac:dyDescent="0.3">
      <c r="A242" s="178"/>
      <c r="B242" s="181"/>
      <c r="C242" s="92" t="s">
        <v>4</v>
      </c>
      <c r="D242" s="95"/>
      <c r="E242" s="95"/>
      <c r="F242" s="95"/>
      <c r="G242" s="96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7"/>
      <c r="AI242" s="36"/>
      <c r="AJ242" s="34"/>
      <c r="AK242" s="7"/>
      <c r="AL242" s="7"/>
      <c r="AM242" s="34"/>
      <c r="AN242" s="59"/>
      <c r="AO242" s="5"/>
      <c r="AP242" s="78"/>
      <c r="AQ242" s="129"/>
      <c r="AR242" s="5"/>
    </row>
    <row r="243" spans="1:44" ht="16" customHeight="1" thickTop="1" thickBot="1" x14ac:dyDescent="0.3">
      <c r="A243" s="188">
        <v>79</v>
      </c>
      <c r="B243" s="138"/>
      <c r="C243" s="91" t="s">
        <v>11</v>
      </c>
      <c r="D243" s="166"/>
      <c r="E243" s="166"/>
      <c r="F243" s="168"/>
      <c r="G243" s="170"/>
      <c r="H243" s="172"/>
      <c r="I243" s="172"/>
      <c r="J243" s="168"/>
      <c r="K243" s="168"/>
      <c r="L243" s="168"/>
      <c r="M243" s="168"/>
      <c r="N243" s="170"/>
      <c r="O243" s="172"/>
      <c r="P243" s="172"/>
      <c r="Q243" s="168"/>
      <c r="R243" s="168"/>
      <c r="S243" s="168"/>
      <c r="T243" s="174"/>
      <c r="U243" s="170"/>
      <c r="V243" s="172"/>
      <c r="W243" s="172"/>
      <c r="X243" s="168"/>
      <c r="Y243" s="168"/>
      <c r="Z243" s="170"/>
      <c r="AA243" s="170"/>
      <c r="AB243" s="168"/>
      <c r="AC243" s="172"/>
      <c r="AD243" s="172"/>
      <c r="AE243" s="172"/>
      <c r="AF243" s="172"/>
      <c r="AG243" s="168"/>
      <c r="AH243" s="176"/>
      <c r="AI243" s="193">
        <f>SUM(D243:AH243)</f>
        <v>0</v>
      </c>
      <c r="AJ243" s="86"/>
      <c r="AK243" s="31"/>
      <c r="AL243" s="31"/>
      <c r="AM243" s="99">
        <f>SUMIF(D245:AH245, "CO", D243:AH243) + SUMIF(D245:AH245, "CO", D244:AH244)</f>
        <v>0</v>
      </c>
      <c r="AN243" s="51">
        <f ca="1">SUM(AI243:CA243)</f>
        <v>0</v>
      </c>
      <c r="AO243" s="103"/>
      <c r="AP243" s="68"/>
      <c r="AQ243" s="127"/>
      <c r="AR243" s="40"/>
    </row>
    <row r="244" spans="1:44" ht="16" customHeight="1" thickBot="1" x14ac:dyDescent="0.3">
      <c r="A244" s="142"/>
      <c r="B244" s="139"/>
      <c r="C244" s="3" t="s">
        <v>12</v>
      </c>
      <c r="D244" s="167"/>
      <c r="E244" s="167"/>
      <c r="F244" s="169"/>
      <c r="G244" s="171"/>
      <c r="H244" s="173"/>
      <c r="I244" s="173"/>
      <c r="J244" s="169"/>
      <c r="K244" s="169"/>
      <c r="L244" s="169"/>
      <c r="M244" s="169"/>
      <c r="N244" s="171"/>
      <c r="O244" s="173"/>
      <c r="P244" s="173"/>
      <c r="Q244" s="169"/>
      <c r="R244" s="169"/>
      <c r="S244" s="169"/>
      <c r="T244" s="175"/>
      <c r="U244" s="171"/>
      <c r="V244" s="173"/>
      <c r="W244" s="173"/>
      <c r="X244" s="169"/>
      <c r="Y244" s="169"/>
      <c r="Z244" s="171"/>
      <c r="AA244" s="171"/>
      <c r="AB244" s="169"/>
      <c r="AC244" s="173"/>
      <c r="AD244" s="173"/>
      <c r="AE244" s="173"/>
      <c r="AF244" s="173"/>
      <c r="AG244" s="169"/>
      <c r="AH244" s="177"/>
      <c r="AI244" s="192"/>
      <c r="AJ244" s="11"/>
      <c r="AK244" s="11"/>
      <c r="AL244" s="11"/>
      <c r="AM244" s="11"/>
      <c r="AN244" s="52"/>
      <c r="AO244" s="24"/>
      <c r="AP244" s="69"/>
      <c r="AQ244" s="127"/>
      <c r="AR244" s="40"/>
    </row>
    <row r="245" spans="1:44" ht="20" thickBot="1" x14ac:dyDescent="0.3">
      <c r="A245" s="178"/>
      <c r="B245" s="140"/>
      <c r="C245" s="92" t="s">
        <v>4</v>
      </c>
      <c r="D245" s="88"/>
      <c r="E245" s="88"/>
      <c r="F245" s="88"/>
      <c r="G245" s="89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90"/>
      <c r="AI245" s="36"/>
      <c r="AJ245" s="34"/>
      <c r="AK245" s="34"/>
      <c r="AL245" s="34"/>
      <c r="AM245" s="34"/>
      <c r="AN245" s="53"/>
      <c r="AO245" s="25"/>
      <c r="AP245" s="70"/>
      <c r="AQ245" s="127"/>
      <c r="AR245" s="40"/>
    </row>
    <row r="246" spans="1:44" ht="16" customHeight="1" thickTop="1" thickBot="1" x14ac:dyDescent="0.3">
      <c r="A246" s="144">
        <v>80</v>
      </c>
      <c r="B246" s="138"/>
      <c r="C246" s="91" t="s">
        <v>11</v>
      </c>
      <c r="D246" s="166"/>
      <c r="E246" s="166"/>
      <c r="F246" s="168"/>
      <c r="G246" s="170"/>
      <c r="H246" s="172"/>
      <c r="I246" s="172"/>
      <c r="J246" s="168"/>
      <c r="K246" s="168"/>
      <c r="L246" s="168"/>
      <c r="M246" s="168"/>
      <c r="N246" s="170"/>
      <c r="O246" s="172"/>
      <c r="P246" s="172"/>
      <c r="Q246" s="168"/>
      <c r="R246" s="168"/>
      <c r="S246" s="168"/>
      <c r="T246" s="174"/>
      <c r="U246" s="170"/>
      <c r="V246" s="172"/>
      <c r="W246" s="172"/>
      <c r="X246" s="168"/>
      <c r="Y246" s="168"/>
      <c r="Z246" s="170"/>
      <c r="AA246" s="170"/>
      <c r="AB246" s="168"/>
      <c r="AC246" s="172"/>
      <c r="AD246" s="172"/>
      <c r="AE246" s="172"/>
      <c r="AF246" s="172"/>
      <c r="AG246" s="168"/>
      <c r="AH246" s="176"/>
      <c r="AI246" s="159">
        <f>SUM(D246:AH246)</f>
        <v>0</v>
      </c>
      <c r="AJ246" s="87"/>
      <c r="AK246" s="39"/>
      <c r="AL246" s="39"/>
      <c r="AM246" s="100">
        <f>SUMIF(D248:AH248, "CO", D246:AH246) + SUMIF(D248:AH248, "CO", D247:AH247)</f>
        <v>0</v>
      </c>
      <c r="AN246" s="54">
        <f ca="1">SUM(AI246:CA246)</f>
        <v>0</v>
      </c>
      <c r="AO246" s="104"/>
      <c r="AP246" s="71"/>
      <c r="AQ246" s="127"/>
      <c r="AR246" s="40"/>
    </row>
    <row r="247" spans="1:44" ht="16" customHeight="1" thickBot="1" x14ac:dyDescent="0.3">
      <c r="A247" s="142"/>
      <c r="B247" s="139"/>
      <c r="C247" s="3" t="s">
        <v>12</v>
      </c>
      <c r="D247" s="167"/>
      <c r="E247" s="167"/>
      <c r="F247" s="169"/>
      <c r="G247" s="171"/>
      <c r="H247" s="173"/>
      <c r="I247" s="173"/>
      <c r="J247" s="169"/>
      <c r="K247" s="169"/>
      <c r="L247" s="169"/>
      <c r="M247" s="169"/>
      <c r="N247" s="171"/>
      <c r="O247" s="173"/>
      <c r="P247" s="173"/>
      <c r="Q247" s="169"/>
      <c r="R247" s="169"/>
      <c r="S247" s="169"/>
      <c r="T247" s="175"/>
      <c r="U247" s="171"/>
      <c r="V247" s="173"/>
      <c r="W247" s="173"/>
      <c r="X247" s="169"/>
      <c r="Y247" s="169"/>
      <c r="Z247" s="171"/>
      <c r="AA247" s="171"/>
      <c r="AB247" s="169"/>
      <c r="AC247" s="173"/>
      <c r="AD247" s="173"/>
      <c r="AE247" s="173"/>
      <c r="AF247" s="173"/>
      <c r="AG247" s="169"/>
      <c r="AH247" s="177"/>
      <c r="AI247" s="160"/>
      <c r="AJ247" s="11"/>
      <c r="AK247" s="11"/>
      <c r="AL247" s="11"/>
      <c r="AM247" s="11"/>
      <c r="AN247" s="52"/>
      <c r="AO247" s="24"/>
      <c r="AP247" s="69"/>
      <c r="AQ247" s="127"/>
      <c r="AR247" s="43"/>
    </row>
    <row r="248" spans="1:44" ht="20" thickBot="1" x14ac:dyDescent="0.3">
      <c r="A248" s="178"/>
      <c r="B248" s="140"/>
      <c r="C248" s="92" t="s">
        <v>4</v>
      </c>
      <c r="D248" s="88"/>
      <c r="E248" s="88"/>
      <c r="F248" s="88"/>
      <c r="G248" s="89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90"/>
      <c r="AI248" s="36"/>
      <c r="AJ248" s="34"/>
      <c r="AK248" s="34"/>
      <c r="AL248" s="34"/>
      <c r="AM248" s="34"/>
      <c r="AN248" s="53"/>
      <c r="AO248" s="25"/>
      <c r="AP248" s="70"/>
      <c r="AQ248" s="127"/>
      <c r="AR248" s="43"/>
    </row>
    <row r="249" spans="1:44" ht="16" customHeight="1" thickTop="1" thickBot="1" x14ac:dyDescent="0.3">
      <c r="A249" s="188">
        <v>81</v>
      </c>
      <c r="B249" s="138"/>
      <c r="C249" s="91" t="s">
        <v>11</v>
      </c>
      <c r="D249" s="166"/>
      <c r="E249" s="166"/>
      <c r="F249" s="168"/>
      <c r="G249" s="170"/>
      <c r="H249" s="172"/>
      <c r="I249" s="172"/>
      <c r="J249" s="168"/>
      <c r="K249" s="168"/>
      <c r="L249" s="168"/>
      <c r="M249" s="168"/>
      <c r="N249" s="170"/>
      <c r="O249" s="172"/>
      <c r="P249" s="172"/>
      <c r="Q249" s="168"/>
      <c r="R249" s="168"/>
      <c r="S249" s="168"/>
      <c r="T249" s="174"/>
      <c r="U249" s="170"/>
      <c r="V249" s="172"/>
      <c r="W249" s="172"/>
      <c r="X249" s="168"/>
      <c r="Y249" s="168"/>
      <c r="Z249" s="170"/>
      <c r="AA249" s="170"/>
      <c r="AB249" s="168"/>
      <c r="AC249" s="172"/>
      <c r="AD249" s="172"/>
      <c r="AE249" s="172"/>
      <c r="AF249" s="172"/>
      <c r="AG249" s="168"/>
      <c r="AH249" s="176"/>
      <c r="AI249" s="159">
        <f>SUM(D249:AH249)</f>
        <v>0</v>
      </c>
      <c r="AJ249" s="86"/>
      <c r="AK249" s="32"/>
      <c r="AL249" s="8"/>
      <c r="AM249" s="99">
        <f>SUMIF(D251:AH251, "CO", D249:AH249) + SUMIF(D251:AH251, "CO", D250:AH250)</f>
        <v>0</v>
      </c>
      <c r="AN249" s="55">
        <f ca="1">SUM(AI249:CA249)</f>
        <v>0</v>
      </c>
      <c r="AO249" s="8"/>
      <c r="AP249" s="72"/>
      <c r="AQ249" s="127"/>
      <c r="AR249" s="44"/>
    </row>
    <row r="250" spans="1:44" ht="16" customHeight="1" thickBot="1" x14ac:dyDescent="0.3">
      <c r="A250" s="142"/>
      <c r="B250" s="139"/>
      <c r="C250" s="3" t="s">
        <v>12</v>
      </c>
      <c r="D250" s="167"/>
      <c r="E250" s="167"/>
      <c r="F250" s="169"/>
      <c r="G250" s="171"/>
      <c r="H250" s="173"/>
      <c r="I250" s="173"/>
      <c r="J250" s="169"/>
      <c r="K250" s="169"/>
      <c r="L250" s="169"/>
      <c r="M250" s="169"/>
      <c r="N250" s="171"/>
      <c r="O250" s="173"/>
      <c r="P250" s="173"/>
      <c r="Q250" s="169"/>
      <c r="R250" s="169"/>
      <c r="S250" s="169"/>
      <c r="T250" s="175"/>
      <c r="U250" s="171"/>
      <c r="V250" s="173"/>
      <c r="W250" s="173"/>
      <c r="X250" s="169"/>
      <c r="Y250" s="169"/>
      <c r="Z250" s="171"/>
      <c r="AA250" s="171"/>
      <c r="AB250" s="169"/>
      <c r="AC250" s="173"/>
      <c r="AD250" s="173"/>
      <c r="AE250" s="173"/>
      <c r="AF250" s="173"/>
      <c r="AG250" s="169"/>
      <c r="AH250" s="177"/>
      <c r="AI250" s="160"/>
      <c r="AJ250" s="11"/>
      <c r="AK250" s="21"/>
      <c r="AL250" s="7"/>
      <c r="AM250" s="11"/>
      <c r="AN250" s="56"/>
      <c r="AO250" s="5"/>
      <c r="AP250" s="73"/>
      <c r="AQ250" s="127"/>
      <c r="AR250" s="5"/>
    </row>
    <row r="251" spans="1:44" ht="20" thickBot="1" x14ac:dyDescent="0.3">
      <c r="A251" s="178"/>
      <c r="B251" s="140"/>
      <c r="C251" s="92" t="s">
        <v>4</v>
      </c>
      <c r="D251" s="88"/>
      <c r="E251" s="88"/>
      <c r="F251" s="88"/>
      <c r="G251" s="89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90"/>
      <c r="AI251" s="36"/>
      <c r="AJ251" s="34"/>
      <c r="AK251" s="33"/>
      <c r="AL251" s="28"/>
      <c r="AM251" s="34"/>
      <c r="AN251" s="57"/>
      <c r="AO251" s="30"/>
      <c r="AP251" s="74"/>
      <c r="AQ251" s="127"/>
      <c r="AR251" s="5"/>
    </row>
    <row r="252" spans="1:44" ht="16" customHeight="1" thickTop="1" thickBot="1" x14ac:dyDescent="0.3">
      <c r="A252" s="188">
        <v>82</v>
      </c>
      <c r="B252" s="179"/>
      <c r="C252" s="93" t="s">
        <v>11</v>
      </c>
      <c r="D252" s="182"/>
      <c r="E252" s="182"/>
      <c r="F252" s="184"/>
      <c r="G252" s="186"/>
      <c r="H252" s="184"/>
      <c r="I252" s="184"/>
      <c r="J252" s="184"/>
      <c r="K252" s="184"/>
      <c r="L252" s="184"/>
      <c r="M252" s="184"/>
      <c r="N252" s="186"/>
      <c r="O252" s="184"/>
      <c r="P252" s="184"/>
      <c r="Q252" s="184"/>
      <c r="R252" s="184"/>
      <c r="S252" s="184"/>
      <c r="T252" s="186"/>
      <c r="U252" s="186"/>
      <c r="V252" s="184"/>
      <c r="W252" s="184"/>
      <c r="X252" s="184"/>
      <c r="Y252" s="184"/>
      <c r="Z252" s="186"/>
      <c r="AA252" s="186"/>
      <c r="AB252" s="184"/>
      <c r="AC252" s="184"/>
      <c r="AD252" s="184"/>
      <c r="AE252" s="184"/>
      <c r="AF252" s="184"/>
      <c r="AG252" s="184"/>
      <c r="AH252" s="190"/>
      <c r="AI252" s="159">
        <f>SUM(D252:AH252)</f>
        <v>0</v>
      </c>
      <c r="AJ252" s="87"/>
      <c r="AK252" s="12"/>
      <c r="AL252" s="18"/>
      <c r="AM252" s="100">
        <f>SUMIF(D254:AH254, "CO", D252:AH252) + SUMIF(D254:AH254, "CO", D253:AH253)</f>
        <v>0</v>
      </c>
      <c r="AN252" s="58">
        <f ca="1">SUM(AI252:CA252)</f>
        <v>0</v>
      </c>
      <c r="AO252" s="17"/>
      <c r="AP252" s="75"/>
      <c r="AQ252" s="127"/>
      <c r="AR252" s="45"/>
    </row>
    <row r="253" spans="1:44" ht="16" customHeight="1" thickBot="1" x14ac:dyDescent="0.3">
      <c r="A253" s="142"/>
      <c r="B253" s="180"/>
      <c r="C253" s="94" t="s">
        <v>12</v>
      </c>
      <c r="D253" s="183"/>
      <c r="E253" s="183"/>
      <c r="F253" s="185"/>
      <c r="G253" s="187"/>
      <c r="H253" s="185"/>
      <c r="I253" s="185"/>
      <c r="J253" s="185"/>
      <c r="K253" s="185"/>
      <c r="L253" s="185"/>
      <c r="M253" s="185"/>
      <c r="N253" s="187"/>
      <c r="O253" s="185"/>
      <c r="P253" s="185"/>
      <c r="Q253" s="185"/>
      <c r="R253" s="185"/>
      <c r="S253" s="185"/>
      <c r="T253" s="187"/>
      <c r="U253" s="187"/>
      <c r="V253" s="185"/>
      <c r="W253" s="185"/>
      <c r="X253" s="185"/>
      <c r="Y253" s="185"/>
      <c r="Z253" s="187"/>
      <c r="AA253" s="187"/>
      <c r="AB253" s="185"/>
      <c r="AC253" s="185"/>
      <c r="AD253" s="185"/>
      <c r="AE253" s="185"/>
      <c r="AF253" s="185"/>
      <c r="AG253" s="185"/>
      <c r="AH253" s="191"/>
      <c r="AI253" s="160"/>
      <c r="AJ253" s="11"/>
      <c r="AK253" s="10"/>
      <c r="AL253" s="7"/>
      <c r="AM253" s="11"/>
      <c r="AN253" s="59"/>
      <c r="AO253" s="5"/>
      <c r="AP253" s="73"/>
      <c r="AQ253" s="127"/>
      <c r="AR253" s="5"/>
    </row>
    <row r="254" spans="1:44" ht="20" thickBot="1" x14ac:dyDescent="0.3">
      <c r="A254" s="178"/>
      <c r="B254" s="181"/>
      <c r="C254" s="92" t="s">
        <v>4</v>
      </c>
      <c r="D254" s="95"/>
      <c r="E254" s="95"/>
      <c r="F254" s="95"/>
      <c r="G254" s="96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7"/>
      <c r="AI254" s="36"/>
      <c r="AJ254" s="34"/>
      <c r="AK254" s="29"/>
      <c r="AL254" s="28"/>
      <c r="AM254" s="34"/>
      <c r="AN254" s="60"/>
      <c r="AO254" s="30"/>
      <c r="AP254" s="74"/>
      <c r="AQ254" s="127"/>
      <c r="AR254" s="5"/>
    </row>
    <row r="255" spans="1:44" ht="16" customHeight="1" thickTop="1" thickBot="1" x14ac:dyDescent="0.3">
      <c r="A255" s="144">
        <v>83</v>
      </c>
      <c r="B255" s="189"/>
      <c r="C255" s="98" t="s">
        <v>11</v>
      </c>
      <c r="D255" s="182"/>
      <c r="E255" s="182"/>
      <c r="F255" s="184"/>
      <c r="G255" s="186"/>
      <c r="H255" s="184"/>
      <c r="I255" s="184"/>
      <c r="J255" s="184"/>
      <c r="K255" s="184"/>
      <c r="L255" s="184"/>
      <c r="M255" s="184"/>
      <c r="N255" s="186"/>
      <c r="O255" s="184"/>
      <c r="P255" s="184"/>
      <c r="Q255" s="184"/>
      <c r="R255" s="184"/>
      <c r="S255" s="184"/>
      <c r="T255" s="186"/>
      <c r="U255" s="186"/>
      <c r="V255" s="184"/>
      <c r="W255" s="184"/>
      <c r="X255" s="184"/>
      <c r="Y255" s="184"/>
      <c r="Z255" s="186"/>
      <c r="AA255" s="186"/>
      <c r="AB255" s="184"/>
      <c r="AC255" s="184"/>
      <c r="AD255" s="184"/>
      <c r="AE255" s="184"/>
      <c r="AF255" s="184"/>
      <c r="AG255" s="184"/>
      <c r="AH255" s="190"/>
      <c r="AI255" s="159">
        <f>SUM(D255:AH255)</f>
        <v>0</v>
      </c>
      <c r="AJ255" s="86"/>
      <c r="AK255" s="12"/>
      <c r="AL255" s="18"/>
      <c r="AM255" s="99">
        <f>SUMIF(D257:AH257, "CO", D255:AH255) + SUMIF(D257:AH257, "CO", D256:AH256)</f>
        <v>0</v>
      </c>
      <c r="AN255" s="58">
        <f ca="1">SUM(AI255:CA255)</f>
        <v>0</v>
      </c>
      <c r="AO255" s="17"/>
      <c r="AP255" s="75"/>
      <c r="AQ255" s="127"/>
      <c r="AR255" s="6"/>
    </row>
    <row r="256" spans="1:44" ht="16" customHeight="1" thickBot="1" x14ac:dyDescent="0.3">
      <c r="A256" s="142"/>
      <c r="B256" s="180"/>
      <c r="C256" s="94" t="s">
        <v>12</v>
      </c>
      <c r="D256" s="183"/>
      <c r="E256" s="183"/>
      <c r="F256" s="185"/>
      <c r="G256" s="187"/>
      <c r="H256" s="185"/>
      <c r="I256" s="185"/>
      <c r="J256" s="185"/>
      <c r="K256" s="185"/>
      <c r="L256" s="185"/>
      <c r="M256" s="185"/>
      <c r="N256" s="187"/>
      <c r="O256" s="185"/>
      <c r="P256" s="185"/>
      <c r="Q256" s="185"/>
      <c r="R256" s="185"/>
      <c r="S256" s="185"/>
      <c r="T256" s="187"/>
      <c r="U256" s="187"/>
      <c r="V256" s="185"/>
      <c r="W256" s="185"/>
      <c r="X256" s="185"/>
      <c r="Y256" s="185"/>
      <c r="Z256" s="187"/>
      <c r="AA256" s="187"/>
      <c r="AB256" s="185"/>
      <c r="AC256" s="185"/>
      <c r="AD256" s="185"/>
      <c r="AE256" s="185"/>
      <c r="AF256" s="185"/>
      <c r="AG256" s="185"/>
      <c r="AH256" s="191"/>
      <c r="AI256" s="160"/>
      <c r="AJ256" s="11"/>
      <c r="AK256" s="10"/>
      <c r="AL256" s="7"/>
      <c r="AM256" s="11"/>
      <c r="AN256" s="59"/>
      <c r="AO256" s="5"/>
      <c r="AP256" s="73"/>
      <c r="AQ256" s="127"/>
      <c r="AR256" s="5"/>
    </row>
    <row r="257" spans="1:44" ht="20" thickBot="1" x14ac:dyDescent="0.3">
      <c r="A257" s="178"/>
      <c r="B257" s="181"/>
      <c r="C257" s="92" t="s">
        <v>4</v>
      </c>
      <c r="D257" s="95"/>
      <c r="E257" s="95"/>
      <c r="F257" s="95"/>
      <c r="G257" s="96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7"/>
      <c r="AI257" s="36"/>
      <c r="AJ257" s="34"/>
      <c r="AK257" s="29"/>
      <c r="AL257" s="28"/>
      <c r="AM257" s="34"/>
      <c r="AN257" s="60"/>
      <c r="AO257" s="30"/>
      <c r="AP257" s="74"/>
      <c r="AQ257" s="127"/>
      <c r="AR257" s="5"/>
    </row>
    <row r="258" spans="1:44" ht="16" customHeight="1" thickTop="1" thickBot="1" x14ac:dyDescent="0.3">
      <c r="A258" s="188">
        <v>84</v>
      </c>
      <c r="B258" s="189"/>
      <c r="C258" s="98" t="s">
        <v>11</v>
      </c>
      <c r="D258" s="182"/>
      <c r="E258" s="182"/>
      <c r="F258" s="184"/>
      <c r="G258" s="186"/>
      <c r="H258" s="184"/>
      <c r="I258" s="184"/>
      <c r="J258" s="184"/>
      <c r="K258" s="184"/>
      <c r="L258" s="184"/>
      <c r="M258" s="184"/>
      <c r="N258" s="186"/>
      <c r="O258" s="184"/>
      <c r="P258" s="184"/>
      <c r="Q258" s="184"/>
      <c r="R258" s="184"/>
      <c r="S258" s="184"/>
      <c r="T258" s="186"/>
      <c r="U258" s="186"/>
      <c r="V258" s="184"/>
      <c r="W258" s="184"/>
      <c r="X258" s="184"/>
      <c r="Y258" s="184"/>
      <c r="Z258" s="186"/>
      <c r="AA258" s="186"/>
      <c r="AB258" s="184"/>
      <c r="AC258" s="184"/>
      <c r="AD258" s="184"/>
      <c r="AE258" s="184"/>
      <c r="AF258" s="184"/>
      <c r="AG258" s="184"/>
      <c r="AH258" s="190"/>
      <c r="AI258" s="159">
        <f t="shared" ref="AI258" si="125">SUM(D258:AH258)</f>
        <v>0</v>
      </c>
      <c r="AJ258" s="87"/>
      <c r="AK258" s="18"/>
      <c r="AL258" s="18"/>
      <c r="AM258" s="100">
        <f>SUMIF(D260:AH260, "CO", D258:AH258) + SUMIF(D260:AH260, "CO", D259:AH259)</f>
        <v>0</v>
      </c>
      <c r="AN258" s="58">
        <f ca="1">SUM(AI258:CA258)</f>
        <v>0</v>
      </c>
      <c r="AO258" s="17"/>
      <c r="AP258" s="76"/>
      <c r="AQ258" s="127"/>
      <c r="AR258" s="46"/>
    </row>
    <row r="259" spans="1:44" ht="16" customHeight="1" thickBot="1" x14ac:dyDescent="0.3">
      <c r="A259" s="142"/>
      <c r="B259" s="180"/>
      <c r="C259" s="94" t="s">
        <v>12</v>
      </c>
      <c r="D259" s="183"/>
      <c r="E259" s="183"/>
      <c r="F259" s="185"/>
      <c r="G259" s="187"/>
      <c r="H259" s="185"/>
      <c r="I259" s="185"/>
      <c r="J259" s="185"/>
      <c r="K259" s="185"/>
      <c r="L259" s="185"/>
      <c r="M259" s="185"/>
      <c r="N259" s="187"/>
      <c r="O259" s="185"/>
      <c r="P259" s="185"/>
      <c r="Q259" s="185"/>
      <c r="R259" s="185"/>
      <c r="S259" s="185"/>
      <c r="T259" s="187"/>
      <c r="U259" s="187"/>
      <c r="V259" s="185"/>
      <c r="W259" s="185"/>
      <c r="X259" s="185"/>
      <c r="Y259" s="185"/>
      <c r="Z259" s="187"/>
      <c r="AA259" s="187"/>
      <c r="AB259" s="185"/>
      <c r="AC259" s="185"/>
      <c r="AD259" s="185"/>
      <c r="AE259" s="185"/>
      <c r="AF259" s="185"/>
      <c r="AG259" s="185"/>
      <c r="AH259" s="191"/>
      <c r="AI259" s="160"/>
      <c r="AJ259" s="11"/>
      <c r="AK259" s="7"/>
      <c r="AL259" s="7"/>
      <c r="AM259" s="11"/>
      <c r="AN259" s="59"/>
      <c r="AO259" s="5"/>
      <c r="AP259" s="73"/>
      <c r="AQ259" s="127"/>
      <c r="AR259" s="5"/>
    </row>
    <row r="260" spans="1:44" ht="20" thickBot="1" x14ac:dyDescent="0.3">
      <c r="A260" s="178"/>
      <c r="B260" s="181"/>
      <c r="C260" s="92" t="s">
        <v>4</v>
      </c>
      <c r="D260" s="95"/>
      <c r="E260" s="95"/>
      <c r="F260" s="95"/>
      <c r="G260" s="96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7"/>
      <c r="AI260" s="36"/>
      <c r="AJ260" s="34"/>
      <c r="AK260" s="28"/>
      <c r="AL260" s="28"/>
      <c r="AM260" s="34"/>
      <c r="AN260" s="60"/>
      <c r="AO260" s="30"/>
      <c r="AP260" s="74"/>
      <c r="AQ260" s="127"/>
      <c r="AR260" s="5"/>
    </row>
    <row r="261" spans="1:44" ht="21" thickTop="1" thickBot="1" x14ac:dyDescent="0.3">
      <c r="A261" s="188">
        <v>85</v>
      </c>
      <c r="B261" s="138"/>
      <c r="C261" s="91" t="s">
        <v>11</v>
      </c>
      <c r="D261" s="166"/>
      <c r="E261" s="166"/>
      <c r="F261" s="168"/>
      <c r="G261" s="170"/>
      <c r="H261" s="172"/>
      <c r="I261" s="172"/>
      <c r="J261" s="168"/>
      <c r="K261" s="168"/>
      <c r="L261" s="168"/>
      <c r="M261" s="168"/>
      <c r="N261" s="170"/>
      <c r="O261" s="172"/>
      <c r="P261" s="172"/>
      <c r="Q261" s="168"/>
      <c r="R261" s="168"/>
      <c r="S261" s="168"/>
      <c r="T261" s="174"/>
      <c r="U261" s="170"/>
      <c r="V261" s="172"/>
      <c r="W261" s="172"/>
      <c r="X261" s="168"/>
      <c r="Y261" s="168"/>
      <c r="Z261" s="170"/>
      <c r="AA261" s="170"/>
      <c r="AB261" s="168"/>
      <c r="AC261" s="172"/>
      <c r="AD261" s="172"/>
      <c r="AE261" s="172"/>
      <c r="AF261" s="172"/>
      <c r="AG261" s="168"/>
      <c r="AH261" s="176"/>
      <c r="AI261" s="159">
        <f t="shared" ref="AI261" si="126">SUM(D261:AH261)</f>
        <v>0</v>
      </c>
      <c r="AJ261" s="86"/>
      <c r="AK261" s="18"/>
      <c r="AL261" s="26"/>
      <c r="AM261" s="99">
        <f>SUMIF(D263:AH263, "CO", D261:AH261) + SUMIF(D263:AH263, "CO", D262:AH262)</f>
        <v>0</v>
      </c>
      <c r="AN261" s="61">
        <f ca="1">SUM(AI261:CA261)</f>
        <v>0</v>
      </c>
      <c r="AO261" s="27"/>
      <c r="AP261" s="77"/>
      <c r="AQ261" s="127"/>
      <c r="AR261" s="5"/>
    </row>
    <row r="262" spans="1:44" ht="22" thickBot="1" x14ac:dyDescent="0.3">
      <c r="A262" s="142"/>
      <c r="B262" s="139"/>
      <c r="C262" s="3" t="s">
        <v>12</v>
      </c>
      <c r="D262" s="167"/>
      <c r="E262" s="167"/>
      <c r="F262" s="169"/>
      <c r="G262" s="171"/>
      <c r="H262" s="173"/>
      <c r="I262" s="173"/>
      <c r="J262" s="169"/>
      <c r="K262" s="169"/>
      <c r="L262" s="169"/>
      <c r="M262" s="169"/>
      <c r="N262" s="171"/>
      <c r="O262" s="173"/>
      <c r="P262" s="173"/>
      <c r="Q262" s="169"/>
      <c r="R262" s="169"/>
      <c r="S262" s="169"/>
      <c r="T262" s="175"/>
      <c r="U262" s="171"/>
      <c r="V262" s="173"/>
      <c r="W262" s="173"/>
      <c r="X262" s="169"/>
      <c r="Y262" s="169"/>
      <c r="Z262" s="171"/>
      <c r="AA262" s="171"/>
      <c r="AB262" s="169"/>
      <c r="AC262" s="173"/>
      <c r="AD262" s="173"/>
      <c r="AE262" s="173"/>
      <c r="AF262" s="173"/>
      <c r="AG262" s="169"/>
      <c r="AH262" s="177"/>
      <c r="AI262" s="160"/>
      <c r="AJ262" s="11"/>
      <c r="AK262" s="7"/>
      <c r="AL262" s="7"/>
      <c r="AM262" s="11"/>
      <c r="AN262" s="59"/>
      <c r="AO262" s="5"/>
      <c r="AP262" s="78"/>
      <c r="AQ262" s="127"/>
      <c r="AR262" s="5"/>
    </row>
    <row r="263" spans="1:44" ht="20" thickBot="1" x14ac:dyDescent="0.3">
      <c r="A263" s="178"/>
      <c r="B263" s="140"/>
      <c r="C263" s="92" t="s">
        <v>4</v>
      </c>
      <c r="D263" s="88"/>
      <c r="E263" s="88"/>
      <c r="F263" s="88"/>
      <c r="G263" s="89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90"/>
      <c r="AI263" s="36"/>
      <c r="AJ263" s="34"/>
      <c r="AK263" s="28"/>
      <c r="AL263" s="28"/>
      <c r="AM263" s="34"/>
      <c r="AN263" s="60"/>
      <c r="AO263" s="30"/>
      <c r="AP263" s="74"/>
      <c r="AQ263" s="127"/>
      <c r="AR263" s="5"/>
    </row>
    <row r="264" spans="1:44" ht="21" thickTop="1" thickBot="1" x14ac:dyDescent="0.3">
      <c r="A264" s="144">
        <v>86</v>
      </c>
      <c r="B264" s="138"/>
      <c r="C264" s="91" t="s">
        <v>11</v>
      </c>
      <c r="D264" s="166"/>
      <c r="E264" s="166"/>
      <c r="F264" s="168"/>
      <c r="G264" s="170"/>
      <c r="H264" s="172"/>
      <c r="I264" s="172"/>
      <c r="J264" s="168"/>
      <c r="K264" s="168"/>
      <c r="L264" s="168"/>
      <c r="M264" s="168"/>
      <c r="N264" s="170"/>
      <c r="O264" s="172"/>
      <c r="P264" s="172"/>
      <c r="Q264" s="168"/>
      <c r="R264" s="168"/>
      <c r="S264" s="168"/>
      <c r="T264" s="174"/>
      <c r="U264" s="170"/>
      <c r="V264" s="172"/>
      <c r="W264" s="172"/>
      <c r="X264" s="168"/>
      <c r="Y264" s="168"/>
      <c r="Z264" s="170"/>
      <c r="AA264" s="170"/>
      <c r="AB264" s="168"/>
      <c r="AC264" s="172"/>
      <c r="AD264" s="172"/>
      <c r="AE264" s="172"/>
      <c r="AF264" s="172"/>
      <c r="AG264" s="168"/>
      <c r="AH264" s="176"/>
      <c r="AI264" s="159">
        <f t="shared" ref="AI264" si="127">SUM(D264:AH264)</f>
        <v>0</v>
      </c>
      <c r="AJ264" s="87"/>
      <c r="AK264" s="18"/>
      <c r="AL264" s="26"/>
      <c r="AM264" s="100">
        <f>SUMIF(D266:AH266, "CO", D264:AH264) + SUMIF(D266:AH266, "CO", D265:AH265)</f>
        <v>0</v>
      </c>
      <c r="AN264" s="61">
        <f ca="1">SUM(AI264:CA264)</f>
        <v>0</v>
      </c>
      <c r="AO264" s="27"/>
      <c r="AP264" s="77"/>
      <c r="AQ264" s="127"/>
      <c r="AR264" s="5"/>
    </row>
    <row r="265" spans="1:44" ht="22" thickBot="1" x14ac:dyDescent="0.3">
      <c r="A265" s="142"/>
      <c r="B265" s="139"/>
      <c r="C265" s="3" t="s">
        <v>12</v>
      </c>
      <c r="D265" s="167"/>
      <c r="E265" s="167"/>
      <c r="F265" s="169"/>
      <c r="G265" s="171"/>
      <c r="H265" s="173"/>
      <c r="I265" s="173"/>
      <c r="J265" s="169"/>
      <c r="K265" s="169"/>
      <c r="L265" s="169"/>
      <c r="M265" s="169"/>
      <c r="N265" s="171"/>
      <c r="O265" s="173"/>
      <c r="P265" s="173"/>
      <c r="Q265" s="169"/>
      <c r="R265" s="169"/>
      <c r="S265" s="169"/>
      <c r="T265" s="175"/>
      <c r="U265" s="171"/>
      <c r="V265" s="173"/>
      <c r="W265" s="173"/>
      <c r="X265" s="169"/>
      <c r="Y265" s="169"/>
      <c r="Z265" s="171"/>
      <c r="AA265" s="171"/>
      <c r="AB265" s="169"/>
      <c r="AC265" s="173"/>
      <c r="AD265" s="173"/>
      <c r="AE265" s="173"/>
      <c r="AF265" s="173"/>
      <c r="AG265" s="169"/>
      <c r="AH265" s="177"/>
      <c r="AI265" s="160"/>
      <c r="AJ265" s="11"/>
      <c r="AK265" s="7"/>
      <c r="AL265" s="7"/>
      <c r="AM265" s="11"/>
      <c r="AN265" s="59"/>
      <c r="AO265" s="5"/>
      <c r="AP265" s="78"/>
      <c r="AQ265" s="127"/>
      <c r="AR265" s="5"/>
    </row>
    <row r="266" spans="1:44" ht="20" thickBot="1" x14ac:dyDescent="0.3">
      <c r="A266" s="178"/>
      <c r="B266" s="140"/>
      <c r="C266" s="92" t="s">
        <v>4</v>
      </c>
      <c r="D266" s="88"/>
      <c r="E266" s="88"/>
      <c r="F266" s="88"/>
      <c r="G266" s="89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90"/>
      <c r="AI266" s="36"/>
      <c r="AJ266" s="34"/>
      <c r="AK266" s="28"/>
      <c r="AL266" s="28"/>
      <c r="AM266" s="34"/>
      <c r="AN266" s="60"/>
      <c r="AO266" s="30"/>
      <c r="AP266" s="74"/>
      <c r="AQ266" s="127"/>
      <c r="AR266" s="5"/>
    </row>
    <row r="267" spans="1:44" ht="21" thickTop="1" thickBot="1" x14ac:dyDescent="0.3">
      <c r="A267" s="188">
        <v>87</v>
      </c>
      <c r="B267" s="138"/>
      <c r="C267" s="91" t="s">
        <v>11</v>
      </c>
      <c r="D267" s="166"/>
      <c r="E267" s="166"/>
      <c r="F267" s="168"/>
      <c r="G267" s="170"/>
      <c r="H267" s="172"/>
      <c r="I267" s="172"/>
      <c r="J267" s="168"/>
      <c r="K267" s="168"/>
      <c r="L267" s="168"/>
      <c r="M267" s="168"/>
      <c r="N267" s="170"/>
      <c r="O267" s="172"/>
      <c r="P267" s="172"/>
      <c r="Q267" s="168"/>
      <c r="R267" s="168"/>
      <c r="S267" s="168"/>
      <c r="T267" s="174"/>
      <c r="U267" s="170"/>
      <c r="V267" s="172"/>
      <c r="W267" s="172"/>
      <c r="X267" s="168"/>
      <c r="Y267" s="168"/>
      <c r="Z267" s="170"/>
      <c r="AA267" s="170"/>
      <c r="AB267" s="168"/>
      <c r="AC267" s="172"/>
      <c r="AD267" s="172"/>
      <c r="AE267" s="172"/>
      <c r="AF267" s="172"/>
      <c r="AG267" s="168"/>
      <c r="AH267" s="176"/>
      <c r="AI267" s="159">
        <f t="shared" ref="AI267" si="128">SUM(D267:AH267)</f>
        <v>0</v>
      </c>
      <c r="AJ267" s="86"/>
      <c r="AK267" s="18"/>
      <c r="AL267" s="26"/>
      <c r="AM267" s="99">
        <f>SUMIF(D269:AH269, "CO", D267:AH267) + SUMIF(D269:AH269, "CO", D268:AH268)</f>
        <v>0</v>
      </c>
      <c r="AN267" s="61">
        <f ca="1">SUM(AI267:CA267)</f>
        <v>0</v>
      </c>
      <c r="AO267" s="27"/>
      <c r="AP267" s="77"/>
      <c r="AQ267" s="127"/>
      <c r="AR267" s="5"/>
    </row>
    <row r="268" spans="1:44" ht="22" thickBot="1" x14ac:dyDescent="0.3">
      <c r="A268" s="142"/>
      <c r="B268" s="139"/>
      <c r="C268" s="3" t="s">
        <v>12</v>
      </c>
      <c r="D268" s="167"/>
      <c r="E268" s="167"/>
      <c r="F268" s="169"/>
      <c r="G268" s="171"/>
      <c r="H268" s="173"/>
      <c r="I268" s="173"/>
      <c r="J268" s="169"/>
      <c r="K268" s="169"/>
      <c r="L268" s="169"/>
      <c r="M268" s="169"/>
      <c r="N268" s="171"/>
      <c r="O268" s="173"/>
      <c r="P268" s="173"/>
      <c r="Q268" s="169"/>
      <c r="R268" s="169"/>
      <c r="S268" s="169"/>
      <c r="T268" s="175"/>
      <c r="U268" s="171"/>
      <c r="V268" s="173"/>
      <c r="W268" s="173"/>
      <c r="X268" s="169"/>
      <c r="Y268" s="169"/>
      <c r="Z268" s="171"/>
      <c r="AA268" s="171"/>
      <c r="AB268" s="169"/>
      <c r="AC268" s="173"/>
      <c r="AD268" s="173"/>
      <c r="AE268" s="173"/>
      <c r="AF268" s="173"/>
      <c r="AG268" s="169"/>
      <c r="AH268" s="177"/>
      <c r="AI268" s="160"/>
      <c r="AJ268" s="11"/>
      <c r="AK268" s="7"/>
      <c r="AL268" s="7"/>
      <c r="AM268" s="11"/>
      <c r="AN268" s="59"/>
      <c r="AO268" s="5"/>
      <c r="AP268" s="78"/>
      <c r="AQ268" s="127"/>
      <c r="AR268" s="5"/>
    </row>
    <row r="269" spans="1:44" ht="20" thickBot="1" x14ac:dyDescent="0.3">
      <c r="A269" s="178"/>
      <c r="B269" s="140"/>
      <c r="C269" s="92" t="s">
        <v>4</v>
      </c>
      <c r="D269" s="88"/>
      <c r="E269" s="88"/>
      <c r="F269" s="88"/>
      <c r="G269" s="89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90"/>
      <c r="AI269" s="36"/>
      <c r="AJ269" s="34"/>
      <c r="AK269" s="47"/>
      <c r="AL269" s="47"/>
      <c r="AM269" s="34"/>
      <c r="AN269" s="62"/>
      <c r="AO269" s="48"/>
      <c r="AP269" s="79"/>
      <c r="AQ269" s="128"/>
      <c r="AR269" s="5"/>
    </row>
    <row r="270" spans="1:44" ht="20" thickTop="1" x14ac:dyDescent="0.25">
      <c r="A270" s="188">
        <v>88</v>
      </c>
      <c r="B270" s="138"/>
      <c r="C270" s="91" t="s">
        <v>11</v>
      </c>
      <c r="D270" s="166"/>
      <c r="E270" s="166"/>
      <c r="F270" s="168"/>
      <c r="G270" s="170"/>
      <c r="H270" s="172"/>
      <c r="I270" s="172"/>
      <c r="J270" s="168"/>
      <c r="K270" s="168"/>
      <c r="L270" s="168"/>
      <c r="M270" s="168"/>
      <c r="N270" s="170"/>
      <c r="O270" s="172"/>
      <c r="P270" s="172"/>
      <c r="Q270" s="168"/>
      <c r="R270" s="168"/>
      <c r="S270" s="168"/>
      <c r="T270" s="174"/>
      <c r="U270" s="170"/>
      <c r="V270" s="172"/>
      <c r="W270" s="172"/>
      <c r="X270" s="168"/>
      <c r="Y270" s="168"/>
      <c r="Z270" s="170"/>
      <c r="AA270" s="170"/>
      <c r="AB270" s="168"/>
      <c r="AC270" s="172"/>
      <c r="AD270" s="172"/>
      <c r="AE270" s="172"/>
      <c r="AF270" s="172"/>
      <c r="AG270" s="168"/>
      <c r="AH270" s="176"/>
      <c r="AI270" s="159">
        <f t="shared" ref="AI270" si="129">SUM(D270:AH270)</f>
        <v>0</v>
      </c>
      <c r="AJ270" s="87"/>
      <c r="AK270" s="7"/>
      <c r="AL270" s="7"/>
      <c r="AM270" s="100">
        <f>SUMIF(D272:AH272, "CO", D270:AH270) + SUMIF(D272:AH272, "CO", D271:AH271)</f>
        <v>0</v>
      </c>
      <c r="AN270" s="59">
        <f ca="1">SUM(AI270:CA270)</f>
        <v>0</v>
      </c>
      <c r="AO270" s="5"/>
      <c r="AP270" s="73"/>
      <c r="AQ270" s="129"/>
      <c r="AR270" s="5"/>
    </row>
    <row r="271" spans="1:44" ht="21" x14ac:dyDescent="0.25">
      <c r="A271" s="142"/>
      <c r="B271" s="139"/>
      <c r="C271" s="3" t="s">
        <v>12</v>
      </c>
      <c r="D271" s="167"/>
      <c r="E271" s="167"/>
      <c r="F271" s="169"/>
      <c r="G271" s="171"/>
      <c r="H271" s="173"/>
      <c r="I271" s="173"/>
      <c r="J271" s="169"/>
      <c r="K271" s="169"/>
      <c r="L271" s="169"/>
      <c r="M271" s="169"/>
      <c r="N271" s="171"/>
      <c r="O271" s="173"/>
      <c r="P271" s="173"/>
      <c r="Q271" s="169"/>
      <c r="R271" s="169"/>
      <c r="S271" s="169"/>
      <c r="T271" s="175"/>
      <c r="U271" s="171"/>
      <c r="V271" s="173"/>
      <c r="W271" s="173"/>
      <c r="X271" s="169"/>
      <c r="Y271" s="169"/>
      <c r="Z271" s="171"/>
      <c r="AA271" s="171"/>
      <c r="AB271" s="169"/>
      <c r="AC271" s="173"/>
      <c r="AD271" s="173"/>
      <c r="AE271" s="173"/>
      <c r="AF271" s="173"/>
      <c r="AG271" s="169"/>
      <c r="AH271" s="177"/>
      <c r="AI271" s="160"/>
      <c r="AJ271" s="11"/>
      <c r="AK271" s="7"/>
      <c r="AL271" s="7"/>
      <c r="AM271" s="11"/>
      <c r="AN271" s="59"/>
      <c r="AO271" s="5"/>
      <c r="AP271" s="78"/>
      <c r="AQ271" s="129"/>
      <c r="AR271" s="5"/>
    </row>
    <row r="272" spans="1:44" ht="22" thickBot="1" x14ac:dyDescent="0.3">
      <c r="A272" s="178"/>
      <c r="B272" s="140"/>
      <c r="C272" s="92" t="s">
        <v>4</v>
      </c>
      <c r="D272" s="88"/>
      <c r="E272" s="88"/>
      <c r="F272" s="88"/>
      <c r="G272" s="89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90"/>
      <c r="AI272" s="36"/>
      <c r="AJ272" s="34"/>
      <c r="AK272" s="7"/>
      <c r="AL272" s="7"/>
      <c r="AM272" s="34"/>
      <c r="AN272" s="59"/>
      <c r="AO272" s="5"/>
      <c r="AP272" s="78"/>
      <c r="AQ272" s="129"/>
      <c r="AR272" s="5"/>
    </row>
    <row r="273" spans="1:44" ht="20" thickTop="1" x14ac:dyDescent="0.25">
      <c r="A273" s="144">
        <v>89</v>
      </c>
      <c r="B273" s="138"/>
      <c r="C273" s="91" t="s">
        <v>11</v>
      </c>
      <c r="D273" s="166"/>
      <c r="E273" s="166"/>
      <c r="F273" s="168"/>
      <c r="G273" s="170"/>
      <c r="H273" s="172"/>
      <c r="I273" s="172"/>
      <c r="J273" s="168"/>
      <c r="K273" s="168"/>
      <c r="L273" s="168"/>
      <c r="M273" s="168"/>
      <c r="N273" s="170"/>
      <c r="O273" s="172"/>
      <c r="P273" s="172"/>
      <c r="Q273" s="168"/>
      <c r="R273" s="168"/>
      <c r="S273" s="168"/>
      <c r="T273" s="174"/>
      <c r="U273" s="170"/>
      <c r="V273" s="172"/>
      <c r="W273" s="172"/>
      <c r="X273" s="168"/>
      <c r="Y273" s="168"/>
      <c r="Z273" s="170"/>
      <c r="AA273" s="170"/>
      <c r="AB273" s="168"/>
      <c r="AC273" s="172"/>
      <c r="AD273" s="172"/>
      <c r="AE273" s="172"/>
      <c r="AF273" s="172"/>
      <c r="AG273" s="168"/>
      <c r="AH273" s="176"/>
      <c r="AI273" s="159">
        <f t="shared" ref="AI273" si="130">SUM(D273:AH273)</f>
        <v>0</v>
      </c>
      <c r="AJ273" s="86"/>
      <c r="AK273" s="7"/>
      <c r="AL273" s="7"/>
      <c r="AM273" s="99">
        <f>SUMIF(D275:AH275, "CO", D273:AH273) + SUMIF(D275:AH275, "CO", D274:AH274)</f>
        <v>0</v>
      </c>
      <c r="AN273" s="59">
        <f ca="1">SUM(AI273:CA273)</f>
        <v>0</v>
      </c>
      <c r="AO273" s="5"/>
      <c r="AP273" s="73"/>
      <c r="AQ273" s="129"/>
      <c r="AR273" s="5"/>
    </row>
    <row r="274" spans="1:44" ht="21" x14ac:dyDescent="0.25">
      <c r="A274" s="142"/>
      <c r="B274" s="139"/>
      <c r="C274" s="3" t="s">
        <v>12</v>
      </c>
      <c r="D274" s="167"/>
      <c r="E274" s="167"/>
      <c r="F274" s="169"/>
      <c r="G274" s="171"/>
      <c r="H274" s="173"/>
      <c r="I274" s="173"/>
      <c r="J274" s="169"/>
      <c r="K274" s="169"/>
      <c r="L274" s="169"/>
      <c r="M274" s="169"/>
      <c r="N274" s="171"/>
      <c r="O274" s="173"/>
      <c r="P274" s="173"/>
      <c r="Q274" s="169"/>
      <c r="R274" s="169"/>
      <c r="S274" s="169"/>
      <c r="T274" s="175"/>
      <c r="U274" s="171"/>
      <c r="V274" s="173"/>
      <c r="W274" s="173"/>
      <c r="X274" s="169"/>
      <c r="Y274" s="169"/>
      <c r="Z274" s="171"/>
      <c r="AA274" s="171"/>
      <c r="AB274" s="169"/>
      <c r="AC274" s="173"/>
      <c r="AD274" s="173"/>
      <c r="AE274" s="173"/>
      <c r="AF274" s="173"/>
      <c r="AG274" s="169"/>
      <c r="AH274" s="177"/>
      <c r="AI274" s="160"/>
      <c r="AJ274" s="11"/>
      <c r="AK274" s="7"/>
      <c r="AL274" s="7"/>
      <c r="AM274" s="11"/>
      <c r="AN274" s="59"/>
      <c r="AO274" s="5"/>
      <c r="AP274" s="78"/>
      <c r="AQ274" s="129"/>
      <c r="AR274" s="5"/>
    </row>
    <row r="275" spans="1:44" ht="22" thickBot="1" x14ac:dyDescent="0.3">
      <c r="A275" s="178"/>
      <c r="B275" s="140"/>
      <c r="C275" s="92" t="s">
        <v>4</v>
      </c>
      <c r="D275" s="88"/>
      <c r="E275" s="88"/>
      <c r="F275" s="88"/>
      <c r="G275" s="89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90"/>
      <c r="AI275" s="36"/>
      <c r="AJ275" s="34"/>
      <c r="AK275" s="7"/>
      <c r="AL275" s="7"/>
      <c r="AM275" s="34"/>
      <c r="AN275" s="59"/>
      <c r="AO275" s="5"/>
      <c r="AP275" s="78"/>
      <c r="AQ275" s="129"/>
      <c r="AR275" s="5"/>
    </row>
    <row r="276" spans="1:44" ht="20" thickTop="1" x14ac:dyDescent="0.25">
      <c r="A276" s="188">
        <v>90</v>
      </c>
      <c r="B276" s="179"/>
      <c r="C276" s="93" t="s">
        <v>11</v>
      </c>
      <c r="D276" s="182"/>
      <c r="E276" s="182"/>
      <c r="F276" s="184"/>
      <c r="G276" s="186"/>
      <c r="H276" s="184"/>
      <c r="I276" s="184"/>
      <c r="J276" s="184"/>
      <c r="K276" s="184"/>
      <c r="L276" s="184"/>
      <c r="M276" s="184"/>
      <c r="N276" s="186"/>
      <c r="O276" s="184"/>
      <c r="P276" s="184"/>
      <c r="Q276" s="184"/>
      <c r="R276" s="184"/>
      <c r="S276" s="184"/>
      <c r="T276" s="186"/>
      <c r="U276" s="186"/>
      <c r="V276" s="184"/>
      <c r="W276" s="184"/>
      <c r="X276" s="184"/>
      <c r="Y276" s="184"/>
      <c r="Z276" s="186"/>
      <c r="AA276" s="186"/>
      <c r="AB276" s="184"/>
      <c r="AC276" s="184"/>
      <c r="AD276" s="184"/>
      <c r="AE276" s="184"/>
      <c r="AF276" s="184"/>
      <c r="AG276" s="184"/>
      <c r="AH276" s="190"/>
      <c r="AI276" s="159">
        <f t="shared" ref="AI276" si="131">SUM(D276:AH276)</f>
        <v>0</v>
      </c>
      <c r="AJ276" s="87"/>
      <c r="AK276" s="7"/>
      <c r="AL276" s="7"/>
      <c r="AM276" s="100">
        <f>SUMIF(D278:AH278, "CO", D276:AH276) + SUMIF(D278:AH278, "CO", D277:AH277)</f>
        <v>0</v>
      </c>
      <c r="AN276" s="59">
        <f ca="1">SUM(AI276:CA276)</f>
        <v>0</v>
      </c>
      <c r="AO276" s="5"/>
      <c r="AP276" s="73"/>
      <c r="AQ276" s="129"/>
      <c r="AR276" s="5"/>
    </row>
    <row r="277" spans="1:44" ht="21" x14ac:dyDescent="0.25">
      <c r="A277" s="142"/>
      <c r="B277" s="180"/>
      <c r="C277" s="94" t="s">
        <v>12</v>
      </c>
      <c r="D277" s="183"/>
      <c r="E277" s="183"/>
      <c r="F277" s="185"/>
      <c r="G277" s="187"/>
      <c r="H277" s="185"/>
      <c r="I277" s="185"/>
      <c r="J277" s="185"/>
      <c r="K277" s="185"/>
      <c r="L277" s="185"/>
      <c r="M277" s="185"/>
      <c r="N277" s="187"/>
      <c r="O277" s="185"/>
      <c r="P277" s="185"/>
      <c r="Q277" s="185"/>
      <c r="R277" s="185"/>
      <c r="S277" s="185"/>
      <c r="T277" s="187"/>
      <c r="U277" s="187"/>
      <c r="V277" s="185"/>
      <c r="W277" s="185"/>
      <c r="X277" s="185"/>
      <c r="Y277" s="185"/>
      <c r="Z277" s="187"/>
      <c r="AA277" s="187"/>
      <c r="AB277" s="185"/>
      <c r="AC277" s="185"/>
      <c r="AD277" s="185"/>
      <c r="AE277" s="185"/>
      <c r="AF277" s="185"/>
      <c r="AG277" s="185"/>
      <c r="AH277" s="191"/>
      <c r="AI277" s="160"/>
      <c r="AJ277" s="11"/>
      <c r="AK277" s="7"/>
      <c r="AL277" s="7"/>
      <c r="AM277" s="11"/>
      <c r="AN277" s="59"/>
      <c r="AO277" s="5"/>
      <c r="AP277" s="78"/>
      <c r="AQ277" s="129"/>
      <c r="AR277" s="5"/>
    </row>
    <row r="278" spans="1:44" ht="22" thickBot="1" x14ac:dyDescent="0.3">
      <c r="A278" s="178"/>
      <c r="B278" s="181"/>
      <c r="C278" s="92" t="s">
        <v>4</v>
      </c>
      <c r="D278" s="95"/>
      <c r="E278" s="95"/>
      <c r="F278" s="95"/>
      <c r="G278" s="96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7"/>
      <c r="AI278" s="36"/>
      <c r="AJ278" s="34"/>
      <c r="AK278" s="7"/>
      <c r="AL278" s="7"/>
      <c r="AM278" s="34"/>
      <c r="AN278" s="59"/>
      <c r="AO278" s="5"/>
      <c r="AP278" s="78"/>
      <c r="AQ278" s="129"/>
      <c r="AR278" s="5"/>
    </row>
    <row r="279" spans="1:44" ht="20" thickTop="1" x14ac:dyDescent="0.25">
      <c r="A279" s="188">
        <v>91</v>
      </c>
      <c r="B279" s="189"/>
      <c r="C279" s="98" t="s">
        <v>11</v>
      </c>
      <c r="D279" s="182"/>
      <c r="E279" s="182"/>
      <c r="F279" s="184"/>
      <c r="G279" s="186"/>
      <c r="H279" s="184"/>
      <c r="I279" s="184"/>
      <c r="J279" s="184"/>
      <c r="K279" s="184"/>
      <c r="L279" s="184"/>
      <c r="M279" s="184"/>
      <c r="N279" s="186"/>
      <c r="O279" s="184"/>
      <c r="P279" s="184"/>
      <c r="Q279" s="184"/>
      <c r="R279" s="184"/>
      <c r="S279" s="184"/>
      <c r="T279" s="186"/>
      <c r="U279" s="186"/>
      <c r="V279" s="184"/>
      <c r="W279" s="184"/>
      <c r="X279" s="184"/>
      <c r="Y279" s="184"/>
      <c r="Z279" s="186"/>
      <c r="AA279" s="186"/>
      <c r="AB279" s="184"/>
      <c r="AC279" s="184"/>
      <c r="AD279" s="184"/>
      <c r="AE279" s="184"/>
      <c r="AF279" s="184"/>
      <c r="AG279" s="184"/>
      <c r="AH279" s="190"/>
      <c r="AI279" s="159">
        <f t="shared" ref="AI279" si="132">SUM(D279:AH279)</f>
        <v>0</v>
      </c>
      <c r="AJ279" s="86"/>
      <c r="AK279" s="7"/>
      <c r="AL279" s="7"/>
      <c r="AM279" s="99">
        <f>SUMIF(D281:AH281, "CO", D279:AH279) + SUMIF(D281:AH281, "CO", D280:AH280)</f>
        <v>0</v>
      </c>
      <c r="AN279" s="59">
        <f ca="1">SUM(AI279:CA279)</f>
        <v>0</v>
      </c>
      <c r="AO279" s="5"/>
      <c r="AP279" s="73"/>
      <c r="AQ279" s="129"/>
      <c r="AR279" s="5"/>
    </row>
    <row r="280" spans="1:44" ht="21" x14ac:dyDescent="0.25">
      <c r="A280" s="142"/>
      <c r="B280" s="180"/>
      <c r="C280" s="94" t="s">
        <v>12</v>
      </c>
      <c r="D280" s="183"/>
      <c r="E280" s="183"/>
      <c r="F280" s="185"/>
      <c r="G280" s="187"/>
      <c r="H280" s="185"/>
      <c r="I280" s="185"/>
      <c r="J280" s="185"/>
      <c r="K280" s="185"/>
      <c r="L280" s="185"/>
      <c r="M280" s="185"/>
      <c r="N280" s="187"/>
      <c r="O280" s="185"/>
      <c r="P280" s="185"/>
      <c r="Q280" s="185"/>
      <c r="R280" s="185"/>
      <c r="S280" s="185"/>
      <c r="T280" s="187"/>
      <c r="U280" s="187"/>
      <c r="V280" s="185"/>
      <c r="W280" s="185"/>
      <c r="X280" s="185"/>
      <c r="Y280" s="185"/>
      <c r="Z280" s="187"/>
      <c r="AA280" s="187"/>
      <c r="AB280" s="185"/>
      <c r="AC280" s="185"/>
      <c r="AD280" s="185"/>
      <c r="AE280" s="185"/>
      <c r="AF280" s="185"/>
      <c r="AG280" s="185"/>
      <c r="AH280" s="191"/>
      <c r="AI280" s="160"/>
      <c r="AJ280" s="11"/>
      <c r="AK280" s="7"/>
      <c r="AL280" s="7"/>
      <c r="AM280" s="11"/>
      <c r="AN280" s="59"/>
      <c r="AO280" s="5"/>
      <c r="AP280" s="78"/>
      <c r="AQ280" s="129"/>
      <c r="AR280" s="5"/>
    </row>
    <row r="281" spans="1:44" ht="22" thickBot="1" x14ac:dyDescent="0.3">
      <c r="A281" s="178"/>
      <c r="B281" s="181"/>
      <c r="C281" s="92" t="s">
        <v>4</v>
      </c>
      <c r="D281" s="95"/>
      <c r="E281" s="95"/>
      <c r="F281" s="95"/>
      <c r="G281" s="96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7"/>
      <c r="AI281" s="36"/>
      <c r="AJ281" s="34"/>
      <c r="AK281" s="7"/>
      <c r="AL281" s="7"/>
      <c r="AM281" s="34"/>
      <c r="AN281" s="59"/>
      <c r="AO281" s="5"/>
      <c r="AP281" s="78"/>
      <c r="AQ281" s="129"/>
      <c r="AR281" s="5"/>
    </row>
    <row r="282" spans="1:44" ht="20" thickTop="1" x14ac:dyDescent="0.25">
      <c r="A282" s="144">
        <v>92</v>
      </c>
      <c r="B282" s="189"/>
      <c r="C282" s="98" t="s">
        <v>11</v>
      </c>
      <c r="D282" s="182"/>
      <c r="E282" s="182"/>
      <c r="F282" s="184"/>
      <c r="G282" s="186"/>
      <c r="H282" s="184"/>
      <c r="I282" s="184"/>
      <c r="J282" s="184"/>
      <c r="K282" s="184"/>
      <c r="L282" s="184"/>
      <c r="M282" s="184"/>
      <c r="N282" s="186"/>
      <c r="O282" s="184"/>
      <c r="P282" s="184"/>
      <c r="Q282" s="184"/>
      <c r="R282" s="184"/>
      <c r="S282" s="184"/>
      <c r="T282" s="186"/>
      <c r="U282" s="186"/>
      <c r="V282" s="184"/>
      <c r="W282" s="184"/>
      <c r="X282" s="184"/>
      <c r="Y282" s="184"/>
      <c r="Z282" s="186"/>
      <c r="AA282" s="186"/>
      <c r="AB282" s="184"/>
      <c r="AC282" s="184"/>
      <c r="AD282" s="184"/>
      <c r="AE282" s="184"/>
      <c r="AF282" s="184"/>
      <c r="AG282" s="184"/>
      <c r="AH282" s="190"/>
      <c r="AI282" s="159">
        <f t="shared" ref="AI282" si="133">SUM(D282:AH282)</f>
        <v>0</v>
      </c>
      <c r="AJ282" s="87"/>
      <c r="AK282" s="7"/>
      <c r="AL282" s="7"/>
      <c r="AM282" s="100">
        <f>SUMIF(D284:AH284, "CO", D282:AH282) + SUMIF(D284:AH284, "CO", D283:AH283)</f>
        <v>0</v>
      </c>
      <c r="AN282" s="59">
        <f ca="1">SUM(AI282:CA282)</f>
        <v>0</v>
      </c>
      <c r="AO282" s="5"/>
      <c r="AP282" s="73"/>
      <c r="AQ282" s="129"/>
      <c r="AR282" s="5"/>
    </row>
    <row r="283" spans="1:44" ht="21" x14ac:dyDescent="0.25">
      <c r="A283" s="142"/>
      <c r="B283" s="180"/>
      <c r="C283" s="94" t="s">
        <v>12</v>
      </c>
      <c r="D283" s="183"/>
      <c r="E283" s="183"/>
      <c r="F283" s="185"/>
      <c r="G283" s="187"/>
      <c r="H283" s="185"/>
      <c r="I283" s="185"/>
      <c r="J283" s="185"/>
      <c r="K283" s="185"/>
      <c r="L283" s="185"/>
      <c r="M283" s="185"/>
      <c r="N283" s="187"/>
      <c r="O283" s="185"/>
      <c r="P283" s="185"/>
      <c r="Q283" s="185"/>
      <c r="R283" s="185"/>
      <c r="S283" s="185"/>
      <c r="T283" s="187"/>
      <c r="U283" s="187"/>
      <c r="V283" s="185"/>
      <c r="W283" s="185"/>
      <c r="X283" s="185"/>
      <c r="Y283" s="185"/>
      <c r="Z283" s="187"/>
      <c r="AA283" s="187"/>
      <c r="AB283" s="185"/>
      <c r="AC283" s="185"/>
      <c r="AD283" s="185"/>
      <c r="AE283" s="185"/>
      <c r="AF283" s="185"/>
      <c r="AG283" s="185"/>
      <c r="AH283" s="191"/>
      <c r="AI283" s="160"/>
      <c r="AJ283" s="11"/>
      <c r="AK283" s="7"/>
      <c r="AL283" s="7"/>
      <c r="AM283" s="11"/>
      <c r="AN283" s="59"/>
      <c r="AO283" s="5"/>
      <c r="AP283" s="78"/>
      <c r="AQ283" s="129"/>
      <c r="AR283" s="5"/>
    </row>
    <row r="284" spans="1:44" ht="22" thickBot="1" x14ac:dyDescent="0.3">
      <c r="A284" s="178"/>
      <c r="B284" s="181"/>
      <c r="C284" s="92" t="s">
        <v>4</v>
      </c>
      <c r="D284" s="95"/>
      <c r="E284" s="95"/>
      <c r="F284" s="95"/>
      <c r="G284" s="96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7"/>
      <c r="AI284" s="36"/>
      <c r="AJ284" s="34"/>
      <c r="AK284" s="7"/>
      <c r="AL284" s="7"/>
      <c r="AM284" s="34"/>
      <c r="AN284" s="59"/>
      <c r="AO284" s="5"/>
      <c r="AP284" s="78"/>
      <c r="AQ284" s="129"/>
      <c r="AR284" s="5"/>
    </row>
    <row r="285" spans="1:44" ht="20" thickTop="1" x14ac:dyDescent="0.25">
      <c r="A285" s="188">
        <v>93</v>
      </c>
      <c r="B285" s="189"/>
      <c r="C285" s="98" t="s">
        <v>11</v>
      </c>
      <c r="D285" s="182"/>
      <c r="E285" s="182"/>
      <c r="F285" s="184"/>
      <c r="G285" s="186"/>
      <c r="H285" s="184"/>
      <c r="I285" s="184"/>
      <c r="J285" s="184"/>
      <c r="K285" s="184"/>
      <c r="L285" s="184"/>
      <c r="M285" s="184"/>
      <c r="N285" s="186"/>
      <c r="O285" s="184"/>
      <c r="P285" s="184"/>
      <c r="Q285" s="184"/>
      <c r="R285" s="184"/>
      <c r="S285" s="184"/>
      <c r="T285" s="186"/>
      <c r="U285" s="186"/>
      <c r="V285" s="184"/>
      <c r="W285" s="184"/>
      <c r="X285" s="184"/>
      <c r="Y285" s="184"/>
      <c r="Z285" s="186"/>
      <c r="AA285" s="186"/>
      <c r="AB285" s="184"/>
      <c r="AC285" s="184"/>
      <c r="AD285" s="184"/>
      <c r="AE285" s="184"/>
      <c r="AF285" s="184"/>
      <c r="AG285" s="184"/>
      <c r="AH285" s="190"/>
      <c r="AI285" s="159">
        <f t="shared" ref="AI285" si="134">SUM(D285:AH285)</f>
        <v>0</v>
      </c>
      <c r="AJ285" s="86"/>
      <c r="AK285" s="7"/>
      <c r="AL285" s="7"/>
      <c r="AM285" s="99">
        <f>SUMIF(D287:AH287, "CO", D285:AH285) + SUMIF(D287:AH287, "CO", D286:AH286)</f>
        <v>0</v>
      </c>
      <c r="AN285" s="59">
        <f ca="1">SUM(AI285:CA285)</f>
        <v>0</v>
      </c>
      <c r="AO285" s="5"/>
      <c r="AP285" s="73"/>
      <c r="AQ285" s="129"/>
      <c r="AR285" s="5"/>
    </row>
    <row r="286" spans="1:44" ht="21" x14ac:dyDescent="0.25">
      <c r="A286" s="142"/>
      <c r="B286" s="180"/>
      <c r="C286" s="94" t="s">
        <v>12</v>
      </c>
      <c r="D286" s="183"/>
      <c r="E286" s="183"/>
      <c r="F286" s="185"/>
      <c r="G286" s="187"/>
      <c r="H286" s="185"/>
      <c r="I286" s="185"/>
      <c r="J286" s="185"/>
      <c r="K286" s="185"/>
      <c r="L286" s="185"/>
      <c r="M286" s="185"/>
      <c r="N286" s="187"/>
      <c r="O286" s="185"/>
      <c r="P286" s="185"/>
      <c r="Q286" s="185"/>
      <c r="R286" s="185"/>
      <c r="S286" s="185"/>
      <c r="T286" s="187"/>
      <c r="U286" s="187"/>
      <c r="V286" s="185"/>
      <c r="W286" s="185"/>
      <c r="X286" s="185"/>
      <c r="Y286" s="185"/>
      <c r="Z286" s="187"/>
      <c r="AA286" s="187"/>
      <c r="AB286" s="185"/>
      <c r="AC286" s="185"/>
      <c r="AD286" s="185"/>
      <c r="AE286" s="185"/>
      <c r="AF286" s="185"/>
      <c r="AG286" s="185"/>
      <c r="AH286" s="191"/>
      <c r="AI286" s="160"/>
      <c r="AJ286" s="11"/>
      <c r="AK286" s="7"/>
      <c r="AL286" s="7"/>
      <c r="AM286" s="11"/>
      <c r="AN286" s="59"/>
      <c r="AO286" s="5"/>
      <c r="AP286" s="78"/>
      <c r="AQ286" s="129"/>
      <c r="AR286" s="5"/>
    </row>
    <row r="287" spans="1:44" ht="22" thickBot="1" x14ac:dyDescent="0.3">
      <c r="A287" s="178"/>
      <c r="B287" s="181"/>
      <c r="C287" s="92" t="s">
        <v>4</v>
      </c>
      <c r="D287" s="95"/>
      <c r="E287" s="95"/>
      <c r="F287" s="95"/>
      <c r="G287" s="96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7"/>
      <c r="AI287" s="36"/>
      <c r="AJ287" s="34"/>
      <c r="AK287" s="7"/>
      <c r="AL287" s="7"/>
      <c r="AM287" s="34"/>
      <c r="AN287" s="59"/>
      <c r="AO287" s="5"/>
      <c r="AP287" s="78"/>
      <c r="AQ287" s="129"/>
      <c r="AR287" s="5"/>
    </row>
    <row r="288" spans="1:44" ht="20" thickTop="1" x14ac:dyDescent="0.25">
      <c r="A288" s="188">
        <v>94</v>
      </c>
      <c r="B288" s="189"/>
      <c r="C288" s="98" t="s">
        <v>11</v>
      </c>
      <c r="D288" s="182"/>
      <c r="E288" s="182"/>
      <c r="F288" s="184"/>
      <c r="G288" s="186"/>
      <c r="H288" s="184"/>
      <c r="I288" s="184"/>
      <c r="J288" s="184"/>
      <c r="K288" s="184"/>
      <c r="L288" s="184"/>
      <c r="M288" s="184"/>
      <c r="N288" s="186"/>
      <c r="O288" s="184"/>
      <c r="P288" s="184"/>
      <c r="Q288" s="184"/>
      <c r="R288" s="184"/>
      <c r="S288" s="184"/>
      <c r="T288" s="186"/>
      <c r="U288" s="186"/>
      <c r="V288" s="184"/>
      <c r="W288" s="184"/>
      <c r="X288" s="184"/>
      <c r="Y288" s="184"/>
      <c r="Z288" s="186"/>
      <c r="AA288" s="186"/>
      <c r="AB288" s="184"/>
      <c r="AC288" s="184"/>
      <c r="AD288" s="184"/>
      <c r="AE288" s="184"/>
      <c r="AF288" s="184"/>
      <c r="AG288" s="184"/>
      <c r="AH288" s="190"/>
      <c r="AI288" s="159">
        <f>SUM(D288:AH288)</f>
        <v>0</v>
      </c>
      <c r="AJ288" s="87"/>
      <c r="AK288" s="7"/>
      <c r="AL288" s="7"/>
      <c r="AM288" s="100">
        <f>SUMIF(D290:AH290, "CO", D288:AH288) + SUMIF(D290:AH290, "CO", D289:AH289)</f>
        <v>0</v>
      </c>
      <c r="AN288" s="59">
        <f ca="1">SUM(AI288:CA288)</f>
        <v>0</v>
      </c>
      <c r="AO288" s="5"/>
      <c r="AP288" s="73"/>
      <c r="AQ288" s="129"/>
      <c r="AR288" s="5"/>
    </row>
    <row r="289" spans="1:44" ht="21" x14ac:dyDescent="0.25">
      <c r="A289" s="142"/>
      <c r="B289" s="180"/>
      <c r="C289" s="94" t="s">
        <v>12</v>
      </c>
      <c r="D289" s="183"/>
      <c r="E289" s="183"/>
      <c r="F289" s="185"/>
      <c r="G289" s="187"/>
      <c r="H289" s="185"/>
      <c r="I289" s="185"/>
      <c r="J289" s="185"/>
      <c r="K289" s="185"/>
      <c r="L289" s="185"/>
      <c r="M289" s="185"/>
      <c r="N289" s="187"/>
      <c r="O289" s="185"/>
      <c r="P289" s="185"/>
      <c r="Q289" s="185"/>
      <c r="R289" s="185"/>
      <c r="S289" s="185"/>
      <c r="T289" s="187"/>
      <c r="U289" s="187"/>
      <c r="V289" s="185"/>
      <c r="W289" s="185"/>
      <c r="X289" s="185"/>
      <c r="Y289" s="185"/>
      <c r="Z289" s="187"/>
      <c r="AA289" s="187"/>
      <c r="AB289" s="185"/>
      <c r="AC289" s="185"/>
      <c r="AD289" s="185"/>
      <c r="AE289" s="185"/>
      <c r="AF289" s="185"/>
      <c r="AG289" s="185"/>
      <c r="AH289" s="191"/>
      <c r="AI289" s="160"/>
      <c r="AJ289" s="11"/>
      <c r="AK289" s="7"/>
      <c r="AL289" s="7"/>
      <c r="AM289" s="11"/>
      <c r="AN289" s="59"/>
      <c r="AO289" s="5"/>
      <c r="AP289" s="78"/>
      <c r="AQ289" s="129"/>
      <c r="AR289" s="5"/>
    </row>
    <row r="290" spans="1:44" ht="22" thickBot="1" x14ac:dyDescent="0.3">
      <c r="A290" s="178"/>
      <c r="B290" s="181"/>
      <c r="C290" s="92" t="s">
        <v>4</v>
      </c>
      <c r="D290" s="95"/>
      <c r="E290" s="95"/>
      <c r="F290" s="95"/>
      <c r="G290" s="96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7"/>
      <c r="AI290" s="36"/>
      <c r="AJ290" s="34"/>
      <c r="AK290" s="7"/>
      <c r="AL290" s="7"/>
      <c r="AM290" s="34"/>
      <c r="AN290" s="59"/>
      <c r="AO290" s="5"/>
      <c r="AP290" s="78"/>
      <c r="AQ290" s="129"/>
      <c r="AR290" s="5"/>
    </row>
    <row r="291" spans="1:44" ht="21" thickTop="1" thickBot="1" x14ac:dyDescent="0.3">
      <c r="A291" s="144">
        <v>95</v>
      </c>
      <c r="B291" s="138"/>
      <c r="C291" s="91" t="s">
        <v>11</v>
      </c>
      <c r="D291" s="166"/>
      <c r="E291" s="166"/>
      <c r="F291" s="168"/>
      <c r="G291" s="170"/>
      <c r="H291" s="172"/>
      <c r="I291" s="172"/>
      <c r="J291" s="168"/>
      <c r="K291" s="168"/>
      <c r="L291" s="168"/>
      <c r="M291" s="168"/>
      <c r="N291" s="170"/>
      <c r="O291" s="172"/>
      <c r="P291" s="172"/>
      <c r="Q291" s="168"/>
      <c r="R291" s="168"/>
      <c r="S291" s="168"/>
      <c r="T291" s="174"/>
      <c r="U291" s="170"/>
      <c r="V291" s="172"/>
      <c r="W291" s="172"/>
      <c r="X291" s="168"/>
      <c r="Y291" s="168"/>
      <c r="Z291" s="170"/>
      <c r="AA291" s="170"/>
      <c r="AB291" s="168"/>
      <c r="AC291" s="172"/>
      <c r="AD291" s="172"/>
      <c r="AE291" s="172"/>
      <c r="AF291" s="172"/>
      <c r="AG291" s="168"/>
      <c r="AH291" s="176"/>
      <c r="AI291" s="193">
        <f>SUM(D291:AH291)</f>
        <v>0</v>
      </c>
      <c r="AJ291" s="86"/>
      <c r="AK291" s="31"/>
      <c r="AL291" s="31"/>
      <c r="AM291" s="99">
        <f>SUMIF(D293:AH293, "CO", D291:AH291) + SUMIF(D293:AH293, "CO", D292:AH292)</f>
        <v>0</v>
      </c>
      <c r="AN291" s="51">
        <f ca="1">SUM(AI291:CA291)</f>
        <v>0</v>
      </c>
      <c r="AO291" s="103"/>
      <c r="AP291" s="68"/>
      <c r="AQ291" s="127"/>
      <c r="AR291" s="40"/>
    </row>
    <row r="292" spans="1:44" ht="20" thickBot="1" x14ac:dyDescent="0.3">
      <c r="A292" s="142"/>
      <c r="B292" s="139"/>
      <c r="C292" s="3" t="s">
        <v>12</v>
      </c>
      <c r="D292" s="167"/>
      <c r="E292" s="167"/>
      <c r="F292" s="169"/>
      <c r="G292" s="171"/>
      <c r="H292" s="173"/>
      <c r="I292" s="173"/>
      <c r="J292" s="169"/>
      <c r="K292" s="169"/>
      <c r="L292" s="169"/>
      <c r="M292" s="169"/>
      <c r="N292" s="171"/>
      <c r="O292" s="173"/>
      <c r="P292" s="173"/>
      <c r="Q292" s="169"/>
      <c r="R292" s="169"/>
      <c r="S292" s="169"/>
      <c r="T292" s="175"/>
      <c r="U292" s="171"/>
      <c r="V292" s="173"/>
      <c r="W292" s="173"/>
      <c r="X292" s="169"/>
      <c r="Y292" s="169"/>
      <c r="Z292" s="171"/>
      <c r="AA292" s="171"/>
      <c r="AB292" s="169"/>
      <c r="AC292" s="173"/>
      <c r="AD292" s="173"/>
      <c r="AE292" s="173"/>
      <c r="AF292" s="173"/>
      <c r="AG292" s="169"/>
      <c r="AH292" s="177"/>
      <c r="AI292" s="192"/>
      <c r="AJ292" s="11"/>
      <c r="AK292" s="11"/>
      <c r="AL292" s="11"/>
      <c r="AM292" s="11"/>
      <c r="AN292" s="52"/>
      <c r="AO292" s="24"/>
      <c r="AP292" s="69"/>
      <c r="AQ292" s="127"/>
      <c r="AR292" s="40"/>
    </row>
    <row r="293" spans="1:44" ht="20" thickBot="1" x14ac:dyDescent="0.3">
      <c r="A293" s="178"/>
      <c r="B293" s="140"/>
      <c r="C293" s="92" t="s">
        <v>4</v>
      </c>
      <c r="D293" s="88"/>
      <c r="E293" s="88"/>
      <c r="F293" s="88"/>
      <c r="G293" s="89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90"/>
      <c r="AI293" s="36"/>
      <c r="AJ293" s="34"/>
      <c r="AK293" s="34"/>
      <c r="AL293" s="34"/>
      <c r="AM293" s="34"/>
      <c r="AN293" s="53"/>
      <c r="AO293" s="25"/>
      <c r="AP293" s="70"/>
      <c r="AQ293" s="127"/>
      <c r="AR293" s="40"/>
    </row>
    <row r="294" spans="1:44" ht="21" thickTop="1" thickBot="1" x14ac:dyDescent="0.3">
      <c r="A294" s="188">
        <v>96</v>
      </c>
      <c r="B294" s="138"/>
      <c r="C294" s="91" t="s">
        <v>11</v>
      </c>
      <c r="D294" s="166"/>
      <c r="E294" s="166"/>
      <c r="F294" s="168"/>
      <c r="G294" s="170"/>
      <c r="H294" s="172"/>
      <c r="I294" s="172"/>
      <c r="J294" s="168"/>
      <c r="K294" s="168"/>
      <c r="L294" s="168"/>
      <c r="M294" s="168"/>
      <c r="N294" s="170"/>
      <c r="O294" s="172"/>
      <c r="P294" s="172"/>
      <c r="Q294" s="168"/>
      <c r="R294" s="168"/>
      <c r="S294" s="168"/>
      <c r="T294" s="174"/>
      <c r="U294" s="170"/>
      <c r="V294" s="172"/>
      <c r="W294" s="172"/>
      <c r="X294" s="168"/>
      <c r="Y294" s="168"/>
      <c r="Z294" s="170"/>
      <c r="AA294" s="170"/>
      <c r="AB294" s="168"/>
      <c r="AC294" s="172"/>
      <c r="AD294" s="172"/>
      <c r="AE294" s="172"/>
      <c r="AF294" s="172"/>
      <c r="AG294" s="168"/>
      <c r="AH294" s="176"/>
      <c r="AI294" s="159">
        <f>SUM(D294:AH294)</f>
        <v>0</v>
      </c>
      <c r="AJ294" s="87"/>
      <c r="AK294" s="39"/>
      <c r="AL294" s="39"/>
      <c r="AM294" s="100">
        <f>SUMIF(D296:AH296, "CO", D294:AH294) + SUMIF(D296:AH296, "CO", D295:AH295)</f>
        <v>0</v>
      </c>
      <c r="AN294" s="54">
        <f ca="1">SUM(AI294:CA294)</f>
        <v>0</v>
      </c>
      <c r="AO294" s="104"/>
      <c r="AP294" s="71"/>
      <c r="AQ294" s="127"/>
      <c r="AR294" s="40"/>
    </row>
    <row r="295" spans="1:44" ht="20" thickBot="1" x14ac:dyDescent="0.3">
      <c r="A295" s="142"/>
      <c r="B295" s="139"/>
      <c r="C295" s="3" t="s">
        <v>12</v>
      </c>
      <c r="D295" s="167"/>
      <c r="E295" s="167"/>
      <c r="F295" s="169"/>
      <c r="G295" s="171"/>
      <c r="H295" s="173"/>
      <c r="I295" s="173"/>
      <c r="J295" s="169"/>
      <c r="K295" s="169"/>
      <c r="L295" s="169"/>
      <c r="M295" s="169"/>
      <c r="N295" s="171"/>
      <c r="O295" s="173"/>
      <c r="P295" s="173"/>
      <c r="Q295" s="169"/>
      <c r="R295" s="169"/>
      <c r="S295" s="169"/>
      <c r="T295" s="175"/>
      <c r="U295" s="171"/>
      <c r="V295" s="173"/>
      <c r="W295" s="173"/>
      <c r="X295" s="169"/>
      <c r="Y295" s="169"/>
      <c r="Z295" s="171"/>
      <c r="AA295" s="171"/>
      <c r="AB295" s="169"/>
      <c r="AC295" s="173"/>
      <c r="AD295" s="173"/>
      <c r="AE295" s="173"/>
      <c r="AF295" s="173"/>
      <c r="AG295" s="169"/>
      <c r="AH295" s="177"/>
      <c r="AI295" s="160"/>
      <c r="AJ295" s="11"/>
      <c r="AK295" s="11"/>
      <c r="AL295" s="11"/>
      <c r="AM295" s="11"/>
      <c r="AN295" s="52"/>
      <c r="AO295" s="24"/>
      <c r="AP295" s="69"/>
      <c r="AQ295" s="127"/>
      <c r="AR295" s="43"/>
    </row>
    <row r="296" spans="1:44" ht="20" thickBot="1" x14ac:dyDescent="0.3">
      <c r="A296" s="178"/>
      <c r="B296" s="140"/>
      <c r="C296" s="92" t="s">
        <v>4</v>
      </c>
      <c r="D296" s="88"/>
      <c r="E296" s="88"/>
      <c r="F296" s="88"/>
      <c r="G296" s="89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90"/>
      <c r="AI296" s="36"/>
      <c r="AJ296" s="34"/>
      <c r="AK296" s="34"/>
      <c r="AL296" s="34"/>
      <c r="AM296" s="34"/>
      <c r="AN296" s="53"/>
      <c r="AO296" s="25"/>
      <c r="AP296" s="70"/>
      <c r="AQ296" s="127"/>
      <c r="AR296" s="43"/>
    </row>
    <row r="297" spans="1:44" ht="21" thickTop="1" thickBot="1" x14ac:dyDescent="0.3">
      <c r="A297" s="188">
        <v>97</v>
      </c>
      <c r="B297" s="138"/>
      <c r="C297" s="91" t="s">
        <v>11</v>
      </c>
      <c r="D297" s="166"/>
      <c r="E297" s="166"/>
      <c r="F297" s="168"/>
      <c r="G297" s="170"/>
      <c r="H297" s="172"/>
      <c r="I297" s="172"/>
      <c r="J297" s="168"/>
      <c r="K297" s="168"/>
      <c r="L297" s="168"/>
      <c r="M297" s="168"/>
      <c r="N297" s="170"/>
      <c r="O297" s="172"/>
      <c r="P297" s="172"/>
      <c r="Q297" s="168"/>
      <c r="R297" s="168"/>
      <c r="S297" s="168"/>
      <c r="T297" s="174"/>
      <c r="U297" s="170"/>
      <c r="V297" s="172"/>
      <c r="W297" s="172"/>
      <c r="X297" s="168"/>
      <c r="Y297" s="168"/>
      <c r="Z297" s="170"/>
      <c r="AA297" s="170"/>
      <c r="AB297" s="168"/>
      <c r="AC297" s="172"/>
      <c r="AD297" s="172"/>
      <c r="AE297" s="172"/>
      <c r="AF297" s="172"/>
      <c r="AG297" s="168"/>
      <c r="AH297" s="176"/>
      <c r="AI297" s="159">
        <f>SUM(D297:AH297)</f>
        <v>0</v>
      </c>
      <c r="AJ297" s="86"/>
      <c r="AK297" s="32"/>
      <c r="AL297" s="8"/>
      <c r="AM297" s="99">
        <f>SUMIF(D299:AH299, "CO", D297:AH297) + SUMIF(D299:AH299, "CO", D298:AH298)</f>
        <v>0</v>
      </c>
      <c r="AN297" s="55">
        <f ca="1">SUM(AI297:CA297)</f>
        <v>0</v>
      </c>
      <c r="AO297" s="8"/>
      <c r="AP297" s="72"/>
      <c r="AQ297" s="127"/>
      <c r="AR297" s="44"/>
    </row>
    <row r="298" spans="1:44" ht="20" thickBot="1" x14ac:dyDescent="0.3">
      <c r="A298" s="142"/>
      <c r="B298" s="139"/>
      <c r="C298" s="3" t="s">
        <v>12</v>
      </c>
      <c r="D298" s="167"/>
      <c r="E298" s="167"/>
      <c r="F298" s="169"/>
      <c r="G298" s="171"/>
      <c r="H298" s="173"/>
      <c r="I298" s="173"/>
      <c r="J298" s="169"/>
      <c r="K298" s="169"/>
      <c r="L298" s="169"/>
      <c r="M298" s="169"/>
      <c r="N298" s="171"/>
      <c r="O298" s="173"/>
      <c r="P298" s="173"/>
      <c r="Q298" s="169"/>
      <c r="R298" s="169"/>
      <c r="S298" s="169"/>
      <c r="T298" s="175"/>
      <c r="U298" s="171"/>
      <c r="V298" s="173"/>
      <c r="W298" s="173"/>
      <c r="X298" s="169"/>
      <c r="Y298" s="169"/>
      <c r="Z298" s="171"/>
      <c r="AA298" s="171"/>
      <c r="AB298" s="169"/>
      <c r="AC298" s="173"/>
      <c r="AD298" s="173"/>
      <c r="AE298" s="173"/>
      <c r="AF298" s="173"/>
      <c r="AG298" s="169"/>
      <c r="AH298" s="177"/>
      <c r="AI298" s="160"/>
      <c r="AJ298" s="11"/>
      <c r="AK298" s="21"/>
      <c r="AL298" s="7"/>
      <c r="AM298" s="11"/>
      <c r="AN298" s="56"/>
      <c r="AO298" s="5"/>
      <c r="AP298" s="73"/>
      <c r="AQ298" s="127"/>
      <c r="AR298" s="5"/>
    </row>
    <row r="299" spans="1:44" ht="20" thickBot="1" x14ac:dyDescent="0.3">
      <c r="A299" s="178"/>
      <c r="B299" s="140"/>
      <c r="C299" s="92" t="s">
        <v>4</v>
      </c>
      <c r="D299" s="88"/>
      <c r="E299" s="88"/>
      <c r="F299" s="88"/>
      <c r="G299" s="89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90"/>
      <c r="AI299" s="36"/>
      <c r="AJ299" s="34"/>
      <c r="AK299" s="33"/>
      <c r="AL299" s="28"/>
      <c r="AM299" s="34"/>
      <c r="AN299" s="57"/>
      <c r="AO299" s="30"/>
      <c r="AP299" s="74"/>
      <c r="AQ299" s="127"/>
      <c r="AR299" s="5"/>
    </row>
    <row r="300" spans="1:44" ht="21" thickTop="1" thickBot="1" x14ac:dyDescent="0.3">
      <c r="A300" s="144">
        <v>98</v>
      </c>
      <c r="B300" s="179"/>
      <c r="C300" s="93" t="s">
        <v>11</v>
      </c>
      <c r="D300" s="182"/>
      <c r="E300" s="182"/>
      <c r="F300" s="184"/>
      <c r="G300" s="186"/>
      <c r="H300" s="184"/>
      <c r="I300" s="184"/>
      <c r="J300" s="184"/>
      <c r="K300" s="184"/>
      <c r="L300" s="184"/>
      <c r="M300" s="184"/>
      <c r="N300" s="186"/>
      <c r="O300" s="184"/>
      <c r="P300" s="184"/>
      <c r="Q300" s="184"/>
      <c r="R300" s="184"/>
      <c r="S300" s="184"/>
      <c r="T300" s="186"/>
      <c r="U300" s="186"/>
      <c r="V300" s="184"/>
      <c r="W300" s="184"/>
      <c r="X300" s="184"/>
      <c r="Y300" s="184"/>
      <c r="Z300" s="186"/>
      <c r="AA300" s="186"/>
      <c r="AB300" s="184"/>
      <c r="AC300" s="184"/>
      <c r="AD300" s="184"/>
      <c r="AE300" s="184"/>
      <c r="AF300" s="184"/>
      <c r="AG300" s="184"/>
      <c r="AH300" s="190"/>
      <c r="AI300" s="159">
        <f>SUM(D300:AH300)</f>
        <v>0</v>
      </c>
      <c r="AJ300" s="87"/>
      <c r="AK300" s="12"/>
      <c r="AL300" s="18"/>
      <c r="AM300" s="100">
        <f>SUMIF(D302:AH302, "CO", D300:AH300) + SUMIF(D302:AH302, "CO", D301:AH301)</f>
        <v>0</v>
      </c>
      <c r="AN300" s="58">
        <f ca="1">SUM(AI300:CA300)</f>
        <v>0</v>
      </c>
      <c r="AO300" s="17"/>
      <c r="AP300" s="75"/>
      <c r="AQ300" s="127"/>
      <c r="AR300" s="45"/>
    </row>
    <row r="301" spans="1:44" ht="20" thickBot="1" x14ac:dyDescent="0.3">
      <c r="A301" s="142"/>
      <c r="B301" s="180"/>
      <c r="C301" s="94" t="s">
        <v>12</v>
      </c>
      <c r="D301" s="183"/>
      <c r="E301" s="183"/>
      <c r="F301" s="185"/>
      <c r="G301" s="187"/>
      <c r="H301" s="185"/>
      <c r="I301" s="185"/>
      <c r="J301" s="185"/>
      <c r="K301" s="185"/>
      <c r="L301" s="185"/>
      <c r="M301" s="185"/>
      <c r="N301" s="187"/>
      <c r="O301" s="185"/>
      <c r="P301" s="185"/>
      <c r="Q301" s="185"/>
      <c r="R301" s="185"/>
      <c r="S301" s="185"/>
      <c r="T301" s="187"/>
      <c r="U301" s="187"/>
      <c r="V301" s="185"/>
      <c r="W301" s="185"/>
      <c r="X301" s="185"/>
      <c r="Y301" s="185"/>
      <c r="Z301" s="187"/>
      <c r="AA301" s="187"/>
      <c r="AB301" s="185"/>
      <c r="AC301" s="185"/>
      <c r="AD301" s="185"/>
      <c r="AE301" s="185"/>
      <c r="AF301" s="185"/>
      <c r="AG301" s="185"/>
      <c r="AH301" s="191"/>
      <c r="AI301" s="160"/>
      <c r="AJ301" s="11"/>
      <c r="AK301" s="10"/>
      <c r="AL301" s="7"/>
      <c r="AM301" s="11"/>
      <c r="AN301" s="59"/>
      <c r="AO301" s="5"/>
      <c r="AP301" s="73"/>
      <c r="AQ301" s="127"/>
      <c r="AR301" s="5"/>
    </row>
    <row r="302" spans="1:44" ht="20" thickBot="1" x14ac:dyDescent="0.3">
      <c r="A302" s="178"/>
      <c r="B302" s="181"/>
      <c r="C302" s="92" t="s">
        <v>4</v>
      </c>
      <c r="D302" s="95"/>
      <c r="E302" s="95"/>
      <c r="F302" s="95"/>
      <c r="G302" s="96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7"/>
      <c r="AI302" s="36"/>
      <c r="AJ302" s="34"/>
      <c r="AK302" s="29"/>
      <c r="AL302" s="28"/>
      <c r="AM302" s="34"/>
      <c r="AN302" s="60"/>
      <c r="AO302" s="30"/>
      <c r="AP302" s="74"/>
      <c r="AQ302" s="127"/>
      <c r="AR302" s="5"/>
    </row>
    <row r="303" spans="1:44" ht="23" thickTop="1" thickBot="1" x14ac:dyDescent="0.3">
      <c r="A303" s="188">
        <v>99</v>
      </c>
      <c r="B303" s="189"/>
      <c r="C303" s="98" t="s">
        <v>11</v>
      </c>
      <c r="D303" s="182"/>
      <c r="E303" s="182"/>
      <c r="F303" s="184"/>
      <c r="G303" s="186"/>
      <c r="H303" s="184"/>
      <c r="I303" s="184"/>
      <c r="J303" s="184"/>
      <c r="K303" s="184"/>
      <c r="L303" s="184"/>
      <c r="M303" s="184"/>
      <c r="N303" s="186"/>
      <c r="O303" s="184"/>
      <c r="P303" s="184"/>
      <c r="Q303" s="184"/>
      <c r="R303" s="184"/>
      <c r="S303" s="184"/>
      <c r="T303" s="186"/>
      <c r="U303" s="186"/>
      <c r="V303" s="184"/>
      <c r="W303" s="184"/>
      <c r="X303" s="184"/>
      <c r="Y303" s="184"/>
      <c r="Z303" s="186"/>
      <c r="AA303" s="186"/>
      <c r="AB303" s="184"/>
      <c r="AC303" s="184"/>
      <c r="AD303" s="184"/>
      <c r="AE303" s="184"/>
      <c r="AF303" s="184"/>
      <c r="AG303" s="184"/>
      <c r="AH303" s="190"/>
      <c r="AI303" s="159">
        <f>SUM(D303:AH303)</f>
        <v>0</v>
      </c>
      <c r="AJ303" s="86"/>
      <c r="AK303" s="12"/>
      <c r="AL303" s="18"/>
      <c r="AM303" s="99">
        <f>SUMIF(D305:AH305, "CO", D303:AH303) + SUMIF(D305:AH305, "CO", D304:AH304)</f>
        <v>0</v>
      </c>
      <c r="AN303" s="58">
        <f ca="1">SUM(AI303:CA303)</f>
        <v>0</v>
      </c>
      <c r="AO303" s="17"/>
      <c r="AP303" s="75"/>
      <c r="AQ303" s="127"/>
      <c r="AR303" s="6"/>
    </row>
    <row r="304" spans="1:44" ht="20" thickBot="1" x14ac:dyDescent="0.3">
      <c r="A304" s="142"/>
      <c r="B304" s="180"/>
      <c r="C304" s="94" t="s">
        <v>12</v>
      </c>
      <c r="D304" s="183"/>
      <c r="E304" s="183"/>
      <c r="F304" s="185"/>
      <c r="G304" s="187"/>
      <c r="H304" s="185"/>
      <c r="I304" s="185"/>
      <c r="J304" s="185"/>
      <c r="K304" s="185"/>
      <c r="L304" s="185"/>
      <c r="M304" s="185"/>
      <c r="N304" s="187"/>
      <c r="O304" s="185"/>
      <c r="P304" s="185"/>
      <c r="Q304" s="185"/>
      <c r="R304" s="185"/>
      <c r="S304" s="185"/>
      <c r="T304" s="187"/>
      <c r="U304" s="187"/>
      <c r="V304" s="185"/>
      <c r="W304" s="185"/>
      <c r="X304" s="185"/>
      <c r="Y304" s="185"/>
      <c r="Z304" s="187"/>
      <c r="AA304" s="187"/>
      <c r="AB304" s="185"/>
      <c r="AC304" s="185"/>
      <c r="AD304" s="185"/>
      <c r="AE304" s="185"/>
      <c r="AF304" s="185"/>
      <c r="AG304" s="185"/>
      <c r="AH304" s="191"/>
      <c r="AI304" s="160"/>
      <c r="AJ304" s="11"/>
      <c r="AK304" s="10"/>
      <c r="AL304" s="7"/>
      <c r="AM304" s="11"/>
      <c r="AN304" s="59"/>
      <c r="AO304" s="5"/>
      <c r="AP304" s="73"/>
      <c r="AQ304" s="127"/>
      <c r="AR304" s="5"/>
    </row>
    <row r="305" spans="1:44" ht="20" thickBot="1" x14ac:dyDescent="0.3">
      <c r="A305" s="178"/>
      <c r="B305" s="181"/>
      <c r="C305" s="92" t="s">
        <v>4</v>
      </c>
      <c r="D305" s="95"/>
      <c r="E305" s="95"/>
      <c r="F305" s="95"/>
      <c r="G305" s="96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7"/>
      <c r="AI305" s="36"/>
      <c r="AJ305" s="34"/>
      <c r="AK305" s="29"/>
      <c r="AL305" s="28"/>
      <c r="AM305" s="34"/>
      <c r="AN305" s="60"/>
      <c r="AO305" s="30"/>
      <c r="AP305" s="74"/>
      <c r="AQ305" s="127"/>
      <c r="AR305" s="5"/>
    </row>
    <row r="306" spans="1:44" ht="21" thickTop="1" thickBot="1" x14ac:dyDescent="0.3">
      <c r="A306" s="188">
        <v>100</v>
      </c>
      <c r="B306" s="189"/>
      <c r="C306" s="98" t="s">
        <v>11</v>
      </c>
      <c r="D306" s="182"/>
      <c r="E306" s="182"/>
      <c r="F306" s="184"/>
      <c r="G306" s="186"/>
      <c r="H306" s="184"/>
      <c r="I306" s="184"/>
      <c r="J306" s="184"/>
      <c r="K306" s="184"/>
      <c r="L306" s="184"/>
      <c r="M306" s="184"/>
      <c r="N306" s="186"/>
      <c r="O306" s="184"/>
      <c r="P306" s="184"/>
      <c r="Q306" s="184"/>
      <c r="R306" s="184"/>
      <c r="S306" s="184"/>
      <c r="T306" s="186"/>
      <c r="U306" s="186"/>
      <c r="V306" s="184"/>
      <c r="W306" s="184"/>
      <c r="X306" s="184"/>
      <c r="Y306" s="184"/>
      <c r="Z306" s="186"/>
      <c r="AA306" s="186"/>
      <c r="AB306" s="184"/>
      <c r="AC306" s="184"/>
      <c r="AD306" s="184"/>
      <c r="AE306" s="184"/>
      <c r="AF306" s="184"/>
      <c r="AG306" s="184"/>
      <c r="AH306" s="190"/>
      <c r="AI306" s="159">
        <f t="shared" ref="AI306" si="135">SUM(D306:AH306)</f>
        <v>0</v>
      </c>
      <c r="AJ306" s="87"/>
      <c r="AK306" s="18"/>
      <c r="AL306" s="18"/>
      <c r="AM306" s="100">
        <f>SUMIF(D308:AH308, "CO", D306:AH306) + SUMIF(D308:AH308, "CO", D307:AH307)</f>
        <v>0</v>
      </c>
      <c r="AN306" s="58">
        <f ca="1">SUM(AI306:CA306)</f>
        <v>0</v>
      </c>
      <c r="AO306" s="17"/>
      <c r="AP306" s="76"/>
      <c r="AQ306" s="127"/>
      <c r="AR306" s="46"/>
    </row>
    <row r="307" spans="1:44" ht="20" thickBot="1" x14ac:dyDescent="0.3">
      <c r="A307" s="142"/>
      <c r="B307" s="180"/>
      <c r="C307" s="94" t="s">
        <v>12</v>
      </c>
      <c r="D307" s="183"/>
      <c r="E307" s="183"/>
      <c r="F307" s="185"/>
      <c r="G307" s="187"/>
      <c r="H307" s="185"/>
      <c r="I307" s="185"/>
      <c r="J307" s="185"/>
      <c r="K307" s="185"/>
      <c r="L307" s="185"/>
      <c r="M307" s="185"/>
      <c r="N307" s="187"/>
      <c r="O307" s="185"/>
      <c r="P307" s="185"/>
      <c r="Q307" s="185"/>
      <c r="R307" s="185"/>
      <c r="S307" s="185"/>
      <c r="T307" s="187"/>
      <c r="U307" s="187"/>
      <c r="V307" s="185"/>
      <c r="W307" s="185"/>
      <c r="X307" s="185"/>
      <c r="Y307" s="185"/>
      <c r="Z307" s="187"/>
      <c r="AA307" s="187"/>
      <c r="AB307" s="185"/>
      <c r="AC307" s="185"/>
      <c r="AD307" s="185"/>
      <c r="AE307" s="185"/>
      <c r="AF307" s="185"/>
      <c r="AG307" s="185"/>
      <c r="AH307" s="191"/>
      <c r="AI307" s="160"/>
      <c r="AJ307" s="11"/>
      <c r="AK307" s="7"/>
      <c r="AL307" s="7"/>
      <c r="AM307" s="11"/>
      <c r="AN307" s="59"/>
      <c r="AO307" s="5"/>
      <c r="AP307" s="73"/>
      <c r="AQ307" s="127"/>
      <c r="AR307" s="5"/>
    </row>
    <row r="308" spans="1:44" ht="20" thickBot="1" x14ac:dyDescent="0.3">
      <c r="A308" s="178"/>
      <c r="B308" s="181"/>
      <c r="C308" s="92" t="s">
        <v>4</v>
      </c>
      <c r="D308" s="95"/>
      <c r="E308" s="95"/>
      <c r="F308" s="95"/>
      <c r="G308" s="96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7"/>
      <c r="AI308" s="36"/>
      <c r="AJ308" s="34"/>
      <c r="AK308" s="28"/>
      <c r="AL308" s="28"/>
      <c r="AM308" s="34"/>
      <c r="AN308" s="60"/>
      <c r="AO308" s="30"/>
      <c r="AP308" s="74"/>
      <c r="AQ308" s="127"/>
      <c r="AR308" s="5"/>
    </row>
    <row r="309" spans="1:44" ht="21" thickTop="1" thickBot="1" x14ac:dyDescent="0.3">
      <c r="A309" s="144">
        <v>101</v>
      </c>
      <c r="B309" s="138"/>
      <c r="C309" s="91" t="s">
        <v>11</v>
      </c>
      <c r="D309" s="166"/>
      <c r="E309" s="166"/>
      <c r="F309" s="168"/>
      <c r="G309" s="170"/>
      <c r="H309" s="172"/>
      <c r="I309" s="172"/>
      <c r="J309" s="168"/>
      <c r="K309" s="168"/>
      <c r="L309" s="168"/>
      <c r="M309" s="168"/>
      <c r="N309" s="170"/>
      <c r="O309" s="172"/>
      <c r="P309" s="172"/>
      <c r="Q309" s="168"/>
      <c r="R309" s="168"/>
      <c r="S309" s="168"/>
      <c r="T309" s="174"/>
      <c r="U309" s="170"/>
      <c r="V309" s="172"/>
      <c r="W309" s="172"/>
      <c r="X309" s="168"/>
      <c r="Y309" s="168"/>
      <c r="Z309" s="170"/>
      <c r="AA309" s="170"/>
      <c r="AB309" s="168"/>
      <c r="AC309" s="172"/>
      <c r="AD309" s="172"/>
      <c r="AE309" s="172"/>
      <c r="AF309" s="172"/>
      <c r="AG309" s="168"/>
      <c r="AH309" s="176"/>
      <c r="AI309" s="159">
        <f t="shared" ref="AI309" si="136">SUM(D309:AH309)</f>
        <v>0</v>
      </c>
      <c r="AJ309" s="86"/>
      <c r="AK309" s="18"/>
      <c r="AL309" s="26"/>
      <c r="AM309" s="99">
        <f>SUMIF(D311:AH311, "CO", D309:AH309) + SUMIF(D311:AH311, "CO", D310:AH310)</f>
        <v>0</v>
      </c>
      <c r="AN309" s="61">
        <f ca="1">SUM(AI309:CA309)</f>
        <v>0</v>
      </c>
      <c r="AO309" s="27"/>
      <c r="AP309" s="77"/>
      <c r="AQ309" s="127"/>
      <c r="AR309" s="5"/>
    </row>
    <row r="310" spans="1:44" ht="22" thickBot="1" x14ac:dyDescent="0.3">
      <c r="A310" s="142"/>
      <c r="B310" s="139"/>
      <c r="C310" s="3" t="s">
        <v>12</v>
      </c>
      <c r="D310" s="167"/>
      <c r="E310" s="167"/>
      <c r="F310" s="169"/>
      <c r="G310" s="171"/>
      <c r="H310" s="173"/>
      <c r="I310" s="173"/>
      <c r="J310" s="169"/>
      <c r="K310" s="169"/>
      <c r="L310" s="169"/>
      <c r="M310" s="169"/>
      <c r="N310" s="171"/>
      <c r="O310" s="173"/>
      <c r="P310" s="173"/>
      <c r="Q310" s="169"/>
      <c r="R310" s="169"/>
      <c r="S310" s="169"/>
      <c r="T310" s="175"/>
      <c r="U310" s="171"/>
      <c r="V310" s="173"/>
      <c r="W310" s="173"/>
      <c r="X310" s="169"/>
      <c r="Y310" s="169"/>
      <c r="Z310" s="171"/>
      <c r="AA310" s="171"/>
      <c r="AB310" s="169"/>
      <c r="AC310" s="173"/>
      <c r="AD310" s="173"/>
      <c r="AE310" s="173"/>
      <c r="AF310" s="173"/>
      <c r="AG310" s="169"/>
      <c r="AH310" s="177"/>
      <c r="AI310" s="160"/>
      <c r="AJ310" s="11"/>
      <c r="AK310" s="7"/>
      <c r="AL310" s="7"/>
      <c r="AM310" s="11"/>
      <c r="AN310" s="59"/>
      <c r="AO310" s="5"/>
      <c r="AP310" s="78"/>
      <c r="AQ310" s="127"/>
      <c r="AR310" s="5"/>
    </row>
    <row r="311" spans="1:44" ht="20" thickBot="1" x14ac:dyDescent="0.3">
      <c r="A311" s="178"/>
      <c r="B311" s="140"/>
      <c r="C311" s="92" t="s">
        <v>4</v>
      </c>
      <c r="D311" s="88"/>
      <c r="E311" s="88"/>
      <c r="F311" s="88"/>
      <c r="G311" s="89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90"/>
      <c r="AI311" s="36"/>
      <c r="AJ311" s="34"/>
      <c r="AK311" s="28"/>
      <c r="AL311" s="28"/>
      <c r="AM311" s="34"/>
      <c r="AN311" s="60"/>
      <c r="AO311" s="30"/>
      <c r="AP311" s="74"/>
      <c r="AQ311" s="127"/>
      <c r="AR311" s="5"/>
    </row>
    <row r="312" spans="1:44" ht="21" thickTop="1" thickBot="1" x14ac:dyDescent="0.3">
      <c r="A312" s="188">
        <v>102</v>
      </c>
      <c r="B312" s="138"/>
      <c r="C312" s="91" t="s">
        <v>11</v>
      </c>
      <c r="D312" s="166"/>
      <c r="E312" s="166"/>
      <c r="F312" s="168"/>
      <c r="G312" s="170"/>
      <c r="H312" s="172"/>
      <c r="I312" s="172"/>
      <c r="J312" s="168"/>
      <c r="K312" s="168"/>
      <c r="L312" s="168"/>
      <c r="M312" s="168"/>
      <c r="N312" s="170"/>
      <c r="O312" s="172"/>
      <c r="P312" s="172"/>
      <c r="Q312" s="168"/>
      <c r="R312" s="168"/>
      <c r="S312" s="168"/>
      <c r="T312" s="174"/>
      <c r="U312" s="170"/>
      <c r="V312" s="172"/>
      <c r="W312" s="172"/>
      <c r="X312" s="168"/>
      <c r="Y312" s="168"/>
      <c r="Z312" s="170"/>
      <c r="AA312" s="170"/>
      <c r="AB312" s="168"/>
      <c r="AC312" s="172"/>
      <c r="AD312" s="172"/>
      <c r="AE312" s="172"/>
      <c r="AF312" s="172"/>
      <c r="AG312" s="168"/>
      <c r="AH312" s="176"/>
      <c r="AI312" s="159">
        <f t="shared" ref="AI312" si="137">SUM(D312:AH312)</f>
        <v>0</v>
      </c>
      <c r="AJ312" s="87"/>
      <c r="AK312" s="18"/>
      <c r="AL312" s="26"/>
      <c r="AM312" s="100">
        <f>SUMIF(D314:AH314, "CO", D312:AH312) + SUMIF(D314:AH314, "CO", D313:AH313)</f>
        <v>0</v>
      </c>
      <c r="AN312" s="61">
        <f ca="1">SUM(AI312:CA312)</f>
        <v>0</v>
      </c>
      <c r="AO312" s="27"/>
      <c r="AP312" s="77"/>
      <c r="AQ312" s="127"/>
      <c r="AR312" s="5"/>
    </row>
    <row r="313" spans="1:44" ht="22" thickBot="1" x14ac:dyDescent="0.3">
      <c r="A313" s="142"/>
      <c r="B313" s="139"/>
      <c r="C313" s="3" t="s">
        <v>12</v>
      </c>
      <c r="D313" s="167"/>
      <c r="E313" s="167"/>
      <c r="F313" s="169"/>
      <c r="G313" s="171"/>
      <c r="H313" s="173"/>
      <c r="I313" s="173"/>
      <c r="J313" s="169"/>
      <c r="K313" s="169"/>
      <c r="L313" s="169"/>
      <c r="M313" s="169"/>
      <c r="N313" s="171"/>
      <c r="O313" s="173"/>
      <c r="P313" s="173"/>
      <c r="Q313" s="169"/>
      <c r="R313" s="169"/>
      <c r="S313" s="169"/>
      <c r="T313" s="175"/>
      <c r="U313" s="171"/>
      <c r="V313" s="173"/>
      <c r="W313" s="173"/>
      <c r="X313" s="169"/>
      <c r="Y313" s="169"/>
      <c r="Z313" s="171"/>
      <c r="AA313" s="171"/>
      <c r="AB313" s="169"/>
      <c r="AC313" s="173"/>
      <c r="AD313" s="173"/>
      <c r="AE313" s="173"/>
      <c r="AF313" s="173"/>
      <c r="AG313" s="169"/>
      <c r="AH313" s="177"/>
      <c r="AI313" s="160"/>
      <c r="AJ313" s="11"/>
      <c r="AK313" s="7"/>
      <c r="AL313" s="7"/>
      <c r="AM313" s="11"/>
      <c r="AN313" s="59"/>
      <c r="AO313" s="5"/>
      <c r="AP313" s="78"/>
      <c r="AQ313" s="127"/>
      <c r="AR313" s="5"/>
    </row>
    <row r="314" spans="1:44" ht="20" thickBot="1" x14ac:dyDescent="0.3">
      <c r="A314" s="178"/>
      <c r="B314" s="140"/>
      <c r="C314" s="92" t="s">
        <v>4</v>
      </c>
      <c r="D314" s="88"/>
      <c r="E314" s="88"/>
      <c r="F314" s="88"/>
      <c r="G314" s="89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90"/>
      <c r="AI314" s="36"/>
      <c r="AJ314" s="34"/>
      <c r="AK314" s="28"/>
      <c r="AL314" s="28"/>
      <c r="AM314" s="34"/>
      <c r="AN314" s="60"/>
      <c r="AO314" s="30"/>
      <c r="AP314" s="74"/>
      <c r="AQ314" s="127"/>
      <c r="AR314" s="5"/>
    </row>
    <row r="315" spans="1:44" ht="21" thickTop="1" thickBot="1" x14ac:dyDescent="0.3">
      <c r="A315" s="188">
        <v>103</v>
      </c>
      <c r="B315" s="138"/>
      <c r="C315" s="91" t="s">
        <v>11</v>
      </c>
      <c r="D315" s="166"/>
      <c r="E315" s="166"/>
      <c r="F315" s="168"/>
      <c r="G315" s="170"/>
      <c r="H315" s="172"/>
      <c r="I315" s="172"/>
      <c r="J315" s="168"/>
      <c r="K315" s="168"/>
      <c r="L315" s="168"/>
      <c r="M315" s="168"/>
      <c r="N315" s="170"/>
      <c r="O315" s="172"/>
      <c r="P315" s="172"/>
      <c r="Q315" s="168"/>
      <c r="R315" s="168"/>
      <c r="S315" s="168"/>
      <c r="T315" s="174"/>
      <c r="U315" s="170"/>
      <c r="V315" s="172"/>
      <c r="W315" s="172"/>
      <c r="X315" s="168"/>
      <c r="Y315" s="168"/>
      <c r="Z315" s="170"/>
      <c r="AA315" s="170"/>
      <c r="AB315" s="168"/>
      <c r="AC315" s="172"/>
      <c r="AD315" s="172"/>
      <c r="AE315" s="172"/>
      <c r="AF315" s="172"/>
      <c r="AG315" s="168"/>
      <c r="AH315" s="176"/>
      <c r="AI315" s="159">
        <f t="shared" ref="AI315" si="138">SUM(D315:AH315)</f>
        <v>0</v>
      </c>
      <c r="AJ315" s="86"/>
      <c r="AK315" s="18"/>
      <c r="AL315" s="26"/>
      <c r="AM315" s="99">
        <f>SUMIF(D317:AH317, "CO", D315:AH315) + SUMIF(D317:AH317, "CO", D316:AH316)</f>
        <v>0</v>
      </c>
      <c r="AN315" s="61">
        <f ca="1">SUM(AI315:CA315)</f>
        <v>0</v>
      </c>
      <c r="AO315" s="27"/>
      <c r="AP315" s="77"/>
      <c r="AQ315" s="127"/>
      <c r="AR315" s="5"/>
    </row>
    <row r="316" spans="1:44" ht="22" thickBot="1" x14ac:dyDescent="0.3">
      <c r="A316" s="142"/>
      <c r="B316" s="139"/>
      <c r="C316" s="3" t="s">
        <v>12</v>
      </c>
      <c r="D316" s="167"/>
      <c r="E316" s="167"/>
      <c r="F316" s="169"/>
      <c r="G316" s="171"/>
      <c r="H316" s="173"/>
      <c r="I316" s="173"/>
      <c r="J316" s="169"/>
      <c r="K316" s="169"/>
      <c r="L316" s="169"/>
      <c r="M316" s="169"/>
      <c r="N316" s="171"/>
      <c r="O316" s="173"/>
      <c r="P316" s="173"/>
      <c r="Q316" s="169"/>
      <c r="R316" s="169"/>
      <c r="S316" s="169"/>
      <c r="T316" s="175"/>
      <c r="U316" s="171"/>
      <c r="V316" s="173"/>
      <c r="W316" s="173"/>
      <c r="X316" s="169"/>
      <c r="Y316" s="169"/>
      <c r="Z316" s="171"/>
      <c r="AA316" s="171"/>
      <c r="AB316" s="169"/>
      <c r="AC316" s="173"/>
      <c r="AD316" s="173"/>
      <c r="AE316" s="173"/>
      <c r="AF316" s="173"/>
      <c r="AG316" s="169"/>
      <c r="AH316" s="177"/>
      <c r="AI316" s="160"/>
      <c r="AJ316" s="11"/>
      <c r="AK316" s="7"/>
      <c r="AL316" s="7"/>
      <c r="AM316" s="11"/>
      <c r="AN316" s="59"/>
      <c r="AO316" s="5"/>
      <c r="AP316" s="78"/>
      <c r="AQ316" s="127"/>
      <c r="AR316" s="5"/>
    </row>
    <row r="317" spans="1:44" ht="20" thickBot="1" x14ac:dyDescent="0.3">
      <c r="A317" s="178"/>
      <c r="B317" s="140"/>
      <c r="C317" s="92" t="s">
        <v>4</v>
      </c>
      <c r="D317" s="88"/>
      <c r="E317" s="88"/>
      <c r="F317" s="88"/>
      <c r="G317" s="89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90"/>
      <c r="AI317" s="36"/>
      <c r="AJ317" s="34"/>
      <c r="AK317" s="47"/>
      <c r="AL317" s="47"/>
      <c r="AM317" s="34"/>
      <c r="AN317" s="62"/>
      <c r="AO317" s="48"/>
      <c r="AP317" s="79"/>
      <c r="AQ317" s="128"/>
      <c r="AR317" s="5"/>
    </row>
    <row r="318" spans="1:44" ht="20" thickTop="1" x14ac:dyDescent="0.25">
      <c r="A318" s="144">
        <v>104</v>
      </c>
      <c r="B318" s="138"/>
      <c r="C318" s="91" t="s">
        <v>11</v>
      </c>
      <c r="D318" s="166"/>
      <c r="E318" s="166"/>
      <c r="F318" s="168"/>
      <c r="G318" s="170"/>
      <c r="H318" s="172"/>
      <c r="I318" s="172"/>
      <c r="J318" s="168"/>
      <c r="K318" s="168"/>
      <c r="L318" s="168"/>
      <c r="M318" s="168"/>
      <c r="N318" s="170"/>
      <c r="O318" s="172"/>
      <c r="P318" s="172"/>
      <c r="Q318" s="168"/>
      <c r="R318" s="168"/>
      <c r="S318" s="168"/>
      <c r="T318" s="174"/>
      <c r="U318" s="170"/>
      <c r="V318" s="172"/>
      <c r="W318" s="172"/>
      <c r="X318" s="168"/>
      <c r="Y318" s="168"/>
      <c r="Z318" s="170"/>
      <c r="AA318" s="170"/>
      <c r="AB318" s="168"/>
      <c r="AC318" s="172"/>
      <c r="AD318" s="172"/>
      <c r="AE318" s="172"/>
      <c r="AF318" s="172"/>
      <c r="AG318" s="168"/>
      <c r="AH318" s="176"/>
      <c r="AI318" s="159">
        <f t="shared" ref="AI318" si="139">SUM(D318:AH318)</f>
        <v>0</v>
      </c>
      <c r="AJ318" s="87"/>
      <c r="AK318" s="7"/>
      <c r="AL318" s="7"/>
      <c r="AM318" s="100">
        <f>SUMIF(D320:AH320, "CO", D318:AH318) + SUMIF(D320:AH320, "CO", D319:AH319)</f>
        <v>0</v>
      </c>
      <c r="AN318" s="59">
        <f ca="1">SUM(AI318:CA318)</f>
        <v>0</v>
      </c>
      <c r="AO318" s="5"/>
      <c r="AP318" s="73"/>
      <c r="AQ318" s="129"/>
      <c r="AR318" s="5"/>
    </row>
    <row r="319" spans="1:44" ht="21" x14ac:dyDescent="0.25">
      <c r="A319" s="142"/>
      <c r="B319" s="139"/>
      <c r="C319" s="3" t="s">
        <v>12</v>
      </c>
      <c r="D319" s="167"/>
      <c r="E319" s="167"/>
      <c r="F319" s="169"/>
      <c r="G319" s="171"/>
      <c r="H319" s="173"/>
      <c r="I319" s="173"/>
      <c r="J319" s="169"/>
      <c r="K319" s="169"/>
      <c r="L319" s="169"/>
      <c r="M319" s="169"/>
      <c r="N319" s="171"/>
      <c r="O319" s="173"/>
      <c r="P319" s="173"/>
      <c r="Q319" s="169"/>
      <c r="R319" s="169"/>
      <c r="S319" s="169"/>
      <c r="T319" s="175"/>
      <c r="U319" s="171"/>
      <c r="V319" s="173"/>
      <c r="W319" s="173"/>
      <c r="X319" s="169"/>
      <c r="Y319" s="169"/>
      <c r="Z319" s="171"/>
      <c r="AA319" s="171"/>
      <c r="AB319" s="169"/>
      <c r="AC319" s="173"/>
      <c r="AD319" s="173"/>
      <c r="AE319" s="173"/>
      <c r="AF319" s="173"/>
      <c r="AG319" s="169"/>
      <c r="AH319" s="177"/>
      <c r="AI319" s="160"/>
      <c r="AJ319" s="11"/>
      <c r="AK319" s="7"/>
      <c r="AL319" s="7"/>
      <c r="AM319" s="11"/>
      <c r="AN319" s="59"/>
      <c r="AO319" s="5"/>
      <c r="AP319" s="78"/>
      <c r="AQ319" s="129"/>
      <c r="AR319" s="5"/>
    </row>
    <row r="320" spans="1:44" ht="22" thickBot="1" x14ac:dyDescent="0.3">
      <c r="A320" s="178"/>
      <c r="B320" s="140"/>
      <c r="C320" s="92" t="s">
        <v>4</v>
      </c>
      <c r="D320" s="88"/>
      <c r="E320" s="88"/>
      <c r="F320" s="88"/>
      <c r="G320" s="89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90"/>
      <c r="AI320" s="36"/>
      <c r="AJ320" s="34"/>
      <c r="AK320" s="7"/>
      <c r="AL320" s="7"/>
      <c r="AM320" s="34"/>
      <c r="AN320" s="59"/>
      <c r="AO320" s="5"/>
      <c r="AP320" s="78"/>
      <c r="AQ320" s="129"/>
      <c r="AR320" s="5"/>
    </row>
    <row r="321" spans="1:44" ht="20" thickTop="1" x14ac:dyDescent="0.25">
      <c r="A321" s="188">
        <v>105</v>
      </c>
      <c r="B321" s="138"/>
      <c r="C321" s="91" t="s">
        <v>11</v>
      </c>
      <c r="D321" s="166"/>
      <c r="E321" s="166"/>
      <c r="F321" s="168"/>
      <c r="G321" s="170"/>
      <c r="H321" s="172"/>
      <c r="I321" s="172"/>
      <c r="J321" s="168"/>
      <c r="K321" s="168"/>
      <c r="L321" s="168"/>
      <c r="M321" s="168"/>
      <c r="N321" s="170"/>
      <c r="O321" s="172"/>
      <c r="P321" s="172"/>
      <c r="Q321" s="168"/>
      <c r="R321" s="168"/>
      <c r="S321" s="168"/>
      <c r="T321" s="174"/>
      <c r="U321" s="170"/>
      <c r="V321" s="172"/>
      <c r="W321" s="172"/>
      <c r="X321" s="168"/>
      <c r="Y321" s="168"/>
      <c r="Z321" s="170"/>
      <c r="AA321" s="170"/>
      <c r="AB321" s="168"/>
      <c r="AC321" s="172"/>
      <c r="AD321" s="172"/>
      <c r="AE321" s="172"/>
      <c r="AF321" s="172"/>
      <c r="AG321" s="168"/>
      <c r="AH321" s="176"/>
      <c r="AI321" s="159">
        <f t="shared" ref="AI321" si="140">SUM(D321:AH321)</f>
        <v>0</v>
      </c>
      <c r="AJ321" s="86"/>
      <c r="AK321" s="7"/>
      <c r="AL321" s="7"/>
      <c r="AM321" s="99">
        <f>SUMIF(D323:AH323, "CO", D321:AH321) + SUMIF(D323:AH323, "CO", D322:AH322)</f>
        <v>0</v>
      </c>
      <c r="AN321" s="59">
        <f ca="1">SUM(AI321:CA321)</f>
        <v>0</v>
      </c>
      <c r="AO321" s="5"/>
      <c r="AP321" s="73"/>
      <c r="AQ321" s="129"/>
      <c r="AR321" s="5"/>
    </row>
    <row r="322" spans="1:44" ht="21" x14ac:dyDescent="0.25">
      <c r="A322" s="142"/>
      <c r="B322" s="139"/>
      <c r="C322" s="3" t="s">
        <v>12</v>
      </c>
      <c r="D322" s="167"/>
      <c r="E322" s="167"/>
      <c r="F322" s="169"/>
      <c r="G322" s="171"/>
      <c r="H322" s="173"/>
      <c r="I322" s="173"/>
      <c r="J322" s="169"/>
      <c r="K322" s="169"/>
      <c r="L322" s="169"/>
      <c r="M322" s="169"/>
      <c r="N322" s="171"/>
      <c r="O322" s="173"/>
      <c r="P322" s="173"/>
      <c r="Q322" s="169"/>
      <c r="R322" s="169"/>
      <c r="S322" s="169"/>
      <c r="T322" s="175"/>
      <c r="U322" s="171"/>
      <c r="V322" s="173"/>
      <c r="W322" s="173"/>
      <c r="X322" s="169"/>
      <c r="Y322" s="169"/>
      <c r="Z322" s="171"/>
      <c r="AA322" s="171"/>
      <c r="AB322" s="169"/>
      <c r="AC322" s="173"/>
      <c r="AD322" s="173"/>
      <c r="AE322" s="173"/>
      <c r="AF322" s="173"/>
      <c r="AG322" s="169"/>
      <c r="AH322" s="177"/>
      <c r="AI322" s="160"/>
      <c r="AJ322" s="11"/>
      <c r="AK322" s="7"/>
      <c r="AL322" s="7"/>
      <c r="AM322" s="11"/>
      <c r="AN322" s="59"/>
      <c r="AO322" s="5"/>
      <c r="AP322" s="78"/>
      <c r="AQ322" s="129"/>
      <c r="AR322" s="5"/>
    </row>
    <row r="323" spans="1:44" ht="22" thickBot="1" x14ac:dyDescent="0.3">
      <c r="A323" s="178"/>
      <c r="B323" s="140"/>
      <c r="C323" s="92" t="s">
        <v>4</v>
      </c>
      <c r="D323" s="88"/>
      <c r="E323" s="88"/>
      <c r="F323" s="88"/>
      <c r="G323" s="89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90"/>
      <c r="AI323" s="36"/>
      <c r="AJ323" s="34"/>
      <c r="AK323" s="7"/>
      <c r="AL323" s="7"/>
      <c r="AM323" s="34"/>
      <c r="AN323" s="59"/>
      <c r="AO323" s="5"/>
      <c r="AP323" s="78"/>
      <c r="AQ323" s="129"/>
      <c r="AR323" s="5"/>
    </row>
    <row r="324" spans="1:44" ht="20" thickTop="1" x14ac:dyDescent="0.25">
      <c r="A324" s="188">
        <v>106</v>
      </c>
      <c r="B324" s="179"/>
      <c r="C324" s="93" t="s">
        <v>11</v>
      </c>
      <c r="D324" s="182"/>
      <c r="E324" s="182"/>
      <c r="F324" s="184"/>
      <c r="G324" s="186"/>
      <c r="H324" s="184"/>
      <c r="I324" s="184"/>
      <c r="J324" s="184"/>
      <c r="K324" s="184"/>
      <c r="L324" s="184"/>
      <c r="M324" s="184"/>
      <c r="N324" s="186"/>
      <c r="O324" s="184"/>
      <c r="P324" s="184"/>
      <c r="Q324" s="184"/>
      <c r="R324" s="184"/>
      <c r="S324" s="184"/>
      <c r="T324" s="186"/>
      <c r="U324" s="186"/>
      <c r="V324" s="184"/>
      <c r="W324" s="184"/>
      <c r="X324" s="184"/>
      <c r="Y324" s="184"/>
      <c r="Z324" s="186"/>
      <c r="AA324" s="186"/>
      <c r="AB324" s="184"/>
      <c r="AC324" s="184"/>
      <c r="AD324" s="184"/>
      <c r="AE324" s="184"/>
      <c r="AF324" s="184"/>
      <c r="AG324" s="184"/>
      <c r="AH324" s="190"/>
      <c r="AI324" s="159">
        <f t="shared" ref="AI324" si="141">SUM(D324:AH324)</f>
        <v>0</v>
      </c>
      <c r="AJ324" s="87"/>
      <c r="AK324" s="7"/>
      <c r="AL324" s="7"/>
      <c r="AM324" s="100">
        <f>SUMIF(D326:AH326, "CO", D324:AH324) + SUMIF(D326:AH326, "CO", D325:AH325)</f>
        <v>0</v>
      </c>
      <c r="AN324" s="59">
        <f ca="1">SUM(AI324:CA324)</f>
        <v>0</v>
      </c>
      <c r="AO324" s="5"/>
      <c r="AP324" s="73"/>
      <c r="AQ324" s="129"/>
      <c r="AR324" s="5"/>
    </row>
    <row r="325" spans="1:44" ht="21" x14ac:dyDescent="0.25">
      <c r="A325" s="142"/>
      <c r="B325" s="180"/>
      <c r="C325" s="94" t="s">
        <v>12</v>
      </c>
      <c r="D325" s="183"/>
      <c r="E325" s="183"/>
      <c r="F325" s="185"/>
      <c r="G325" s="187"/>
      <c r="H325" s="185"/>
      <c r="I325" s="185"/>
      <c r="J325" s="185"/>
      <c r="K325" s="185"/>
      <c r="L325" s="185"/>
      <c r="M325" s="185"/>
      <c r="N325" s="187"/>
      <c r="O325" s="185"/>
      <c r="P325" s="185"/>
      <c r="Q325" s="185"/>
      <c r="R325" s="185"/>
      <c r="S325" s="185"/>
      <c r="T325" s="187"/>
      <c r="U325" s="187"/>
      <c r="V325" s="185"/>
      <c r="W325" s="185"/>
      <c r="X325" s="185"/>
      <c r="Y325" s="185"/>
      <c r="Z325" s="187"/>
      <c r="AA325" s="187"/>
      <c r="AB325" s="185"/>
      <c r="AC325" s="185"/>
      <c r="AD325" s="185"/>
      <c r="AE325" s="185"/>
      <c r="AF325" s="185"/>
      <c r="AG325" s="185"/>
      <c r="AH325" s="191"/>
      <c r="AI325" s="160"/>
      <c r="AJ325" s="11"/>
      <c r="AK325" s="7"/>
      <c r="AL325" s="7"/>
      <c r="AM325" s="11"/>
      <c r="AN325" s="59"/>
      <c r="AO325" s="5"/>
      <c r="AP325" s="78"/>
      <c r="AQ325" s="129"/>
      <c r="AR325" s="5"/>
    </row>
    <row r="326" spans="1:44" ht="22" thickBot="1" x14ac:dyDescent="0.3">
      <c r="A326" s="178"/>
      <c r="B326" s="181"/>
      <c r="C326" s="92" t="s">
        <v>4</v>
      </c>
      <c r="D326" s="95"/>
      <c r="E326" s="95"/>
      <c r="F326" s="95"/>
      <c r="G326" s="96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7"/>
      <c r="AI326" s="36"/>
      <c r="AJ326" s="34"/>
      <c r="AK326" s="7"/>
      <c r="AL326" s="7"/>
      <c r="AM326" s="34"/>
      <c r="AN326" s="59"/>
      <c r="AO326" s="5"/>
      <c r="AP326" s="78"/>
      <c r="AQ326" s="129"/>
      <c r="AR326" s="5"/>
    </row>
    <row r="327" spans="1:44" ht="20" thickTop="1" x14ac:dyDescent="0.25">
      <c r="A327" s="144">
        <v>107</v>
      </c>
      <c r="B327" s="189"/>
      <c r="C327" s="98" t="s">
        <v>11</v>
      </c>
      <c r="D327" s="182"/>
      <c r="E327" s="182"/>
      <c r="F327" s="184"/>
      <c r="G327" s="186"/>
      <c r="H327" s="184"/>
      <c r="I327" s="184"/>
      <c r="J327" s="184"/>
      <c r="K327" s="184"/>
      <c r="L327" s="184"/>
      <c r="M327" s="184"/>
      <c r="N327" s="186"/>
      <c r="O327" s="184"/>
      <c r="P327" s="184"/>
      <c r="Q327" s="184"/>
      <c r="R327" s="184"/>
      <c r="S327" s="184"/>
      <c r="T327" s="186"/>
      <c r="U327" s="186"/>
      <c r="V327" s="184"/>
      <c r="W327" s="184"/>
      <c r="X327" s="184"/>
      <c r="Y327" s="184"/>
      <c r="Z327" s="186"/>
      <c r="AA327" s="186"/>
      <c r="AB327" s="184"/>
      <c r="AC327" s="184"/>
      <c r="AD327" s="184"/>
      <c r="AE327" s="184"/>
      <c r="AF327" s="184"/>
      <c r="AG327" s="184"/>
      <c r="AH327" s="190"/>
      <c r="AI327" s="159">
        <f t="shared" ref="AI327" si="142">SUM(D327:AH327)</f>
        <v>0</v>
      </c>
      <c r="AJ327" s="86"/>
      <c r="AK327" s="7"/>
      <c r="AL327" s="7"/>
      <c r="AM327" s="99">
        <f>SUMIF(D329:AH329, "CO", D327:AH327) + SUMIF(D329:AH329, "CO", D328:AH328)</f>
        <v>0</v>
      </c>
      <c r="AN327" s="59">
        <f ca="1">SUM(AI327:CA327)</f>
        <v>0</v>
      </c>
      <c r="AO327" s="5"/>
      <c r="AP327" s="73"/>
      <c r="AQ327" s="129"/>
      <c r="AR327" s="5"/>
    </row>
    <row r="328" spans="1:44" ht="21" x14ac:dyDescent="0.25">
      <c r="A328" s="142"/>
      <c r="B328" s="180"/>
      <c r="C328" s="94" t="s">
        <v>12</v>
      </c>
      <c r="D328" s="183"/>
      <c r="E328" s="183"/>
      <c r="F328" s="185"/>
      <c r="G328" s="187"/>
      <c r="H328" s="185"/>
      <c r="I328" s="185"/>
      <c r="J328" s="185"/>
      <c r="K328" s="185"/>
      <c r="L328" s="185"/>
      <c r="M328" s="185"/>
      <c r="N328" s="187"/>
      <c r="O328" s="185"/>
      <c r="P328" s="185"/>
      <c r="Q328" s="185"/>
      <c r="R328" s="185"/>
      <c r="S328" s="185"/>
      <c r="T328" s="187"/>
      <c r="U328" s="187"/>
      <c r="V328" s="185"/>
      <c r="W328" s="185"/>
      <c r="X328" s="185"/>
      <c r="Y328" s="185"/>
      <c r="Z328" s="187"/>
      <c r="AA328" s="187"/>
      <c r="AB328" s="185"/>
      <c r="AC328" s="185"/>
      <c r="AD328" s="185"/>
      <c r="AE328" s="185"/>
      <c r="AF328" s="185"/>
      <c r="AG328" s="185"/>
      <c r="AH328" s="191"/>
      <c r="AI328" s="160"/>
      <c r="AJ328" s="11"/>
      <c r="AK328" s="7"/>
      <c r="AL328" s="7"/>
      <c r="AM328" s="11"/>
      <c r="AN328" s="59"/>
      <c r="AO328" s="5"/>
      <c r="AP328" s="78"/>
      <c r="AQ328" s="129"/>
      <c r="AR328" s="5"/>
    </row>
    <row r="329" spans="1:44" ht="22" thickBot="1" x14ac:dyDescent="0.3">
      <c r="A329" s="178"/>
      <c r="B329" s="181"/>
      <c r="C329" s="92" t="s">
        <v>4</v>
      </c>
      <c r="D329" s="95"/>
      <c r="E329" s="95"/>
      <c r="F329" s="95"/>
      <c r="G329" s="96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7"/>
      <c r="AI329" s="36"/>
      <c r="AJ329" s="34"/>
      <c r="AK329" s="7"/>
      <c r="AL329" s="7"/>
      <c r="AM329" s="34"/>
      <c r="AN329" s="59"/>
      <c r="AO329" s="5"/>
      <c r="AP329" s="78"/>
      <c r="AQ329" s="129"/>
      <c r="AR329" s="5"/>
    </row>
    <row r="330" spans="1:44" ht="20" thickTop="1" x14ac:dyDescent="0.25">
      <c r="A330" s="188">
        <v>108</v>
      </c>
      <c r="B330" s="189"/>
      <c r="C330" s="98" t="s">
        <v>11</v>
      </c>
      <c r="D330" s="182"/>
      <c r="E330" s="182"/>
      <c r="F330" s="184"/>
      <c r="G330" s="186"/>
      <c r="H330" s="184"/>
      <c r="I330" s="184"/>
      <c r="J330" s="184"/>
      <c r="K330" s="184"/>
      <c r="L330" s="184"/>
      <c r="M330" s="184"/>
      <c r="N330" s="186"/>
      <c r="O330" s="184"/>
      <c r="P330" s="184"/>
      <c r="Q330" s="184"/>
      <c r="R330" s="184"/>
      <c r="S330" s="184"/>
      <c r="T330" s="186"/>
      <c r="U330" s="186"/>
      <c r="V330" s="184"/>
      <c r="W330" s="184"/>
      <c r="X330" s="184"/>
      <c r="Y330" s="184"/>
      <c r="Z330" s="186"/>
      <c r="AA330" s="186"/>
      <c r="AB330" s="184"/>
      <c r="AC330" s="184"/>
      <c r="AD330" s="184"/>
      <c r="AE330" s="184"/>
      <c r="AF330" s="184"/>
      <c r="AG330" s="184"/>
      <c r="AH330" s="190"/>
      <c r="AI330" s="159">
        <f t="shared" ref="AI330" si="143">SUM(D330:AH330)</f>
        <v>0</v>
      </c>
      <c r="AJ330" s="87"/>
      <c r="AK330" s="7"/>
      <c r="AL330" s="7"/>
      <c r="AM330" s="100">
        <f>SUMIF(D332:AH332, "CO", D330:AH330) + SUMIF(D332:AH332, "CO", D331:AH331)</f>
        <v>0</v>
      </c>
      <c r="AN330" s="59">
        <f ca="1">SUM(AI330:CA330)</f>
        <v>0</v>
      </c>
      <c r="AO330" s="5"/>
      <c r="AP330" s="73"/>
      <c r="AQ330" s="129"/>
      <c r="AR330" s="5"/>
    </row>
    <row r="331" spans="1:44" ht="21" x14ac:dyDescent="0.25">
      <c r="A331" s="142"/>
      <c r="B331" s="180"/>
      <c r="C331" s="94" t="s">
        <v>12</v>
      </c>
      <c r="D331" s="183"/>
      <c r="E331" s="183"/>
      <c r="F331" s="185"/>
      <c r="G331" s="187"/>
      <c r="H331" s="185"/>
      <c r="I331" s="185"/>
      <c r="J331" s="185"/>
      <c r="K331" s="185"/>
      <c r="L331" s="185"/>
      <c r="M331" s="185"/>
      <c r="N331" s="187"/>
      <c r="O331" s="185"/>
      <c r="P331" s="185"/>
      <c r="Q331" s="185"/>
      <c r="R331" s="185"/>
      <c r="S331" s="185"/>
      <c r="T331" s="187"/>
      <c r="U331" s="187"/>
      <c r="V331" s="185"/>
      <c r="W331" s="185"/>
      <c r="X331" s="185"/>
      <c r="Y331" s="185"/>
      <c r="Z331" s="187"/>
      <c r="AA331" s="187"/>
      <c r="AB331" s="185"/>
      <c r="AC331" s="185"/>
      <c r="AD331" s="185"/>
      <c r="AE331" s="185"/>
      <c r="AF331" s="185"/>
      <c r="AG331" s="185"/>
      <c r="AH331" s="191"/>
      <c r="AI331" s="160"/>
      <c r="AJ331" s="11"/>
      <c r="AK331" s="7"/>
      <c r="AL331" s="7"/>
      <c r="AM331" s="11"/>
      <c r="AN331" s="59"/>
      <c r="AO331" s="5"/>
      <c r="AP331" s="78"/>
      <c r="AQ331" s="129"/>
      <c r="AR331" s="5"/>
    </row>
    <row r="332" spans="1:44" ht="22" thickBot="1" x14ac:dyDescent="0.3">
      <c r="A332" s="178"/>
      <c r="B332" s="181"/>
      <c r="C332" s="92" t="s">
        <v>4</v>
      </c>
      <c r="D332" s="95"/>
      <c r="E332" s="95"/>
      <c r="F332" s="95"/>
      <c r="G332" s="96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7"/>
      <c r="AI332" s="36"/>
      <c r="AJ332" s="34"/>
      <c r="AK332" s="7"/>
      <c r="AL332" s="7"/>
      <c r="AM332" s="34"/>
      <c r="AN332" s="59"/>
      <c r="AO332" s="5"/>
      <c r="AP332" s="78"/>
      <c r="AQ332" s="129"/>
      <c r="AR332" s="5"/>
    </row>
    <row r="333" spans="1:44" ht="20" thickTop="1" x14ac:dyDescent="0.25">
      <c r="A333" s="188">
        <v>109</v>
      </c>
      <c r="B333" s="189"/>
      <c r="C333" s="98" t="s">
        <v>11</v>
      </c>
      <c r="D333" s="182"/>
      <c r="E333" s="182"/>
      <c r="F333" s="184"/>
      <c r="G333" s="186"/>
      <c r="H333" s="184"/>
      <c r="I333" s="184"/>
      <c r="J333" s="184"/>
      <c r="K333" s="184"/>
      <c r="L333" s="184"/>
      <c r="M333" s="184"/>
      <c r="N333" s="186"/>
      <c r="O333" s="184"/>
      <c r="P333" s="184"/>
      <c r="Q333" s="184"/>
      <c r="R333" s="184"/>
      <c r="S333" s="184"/>
      <c r="T333" s="186"/>
      <c r="U333" s="186"/>
      <c r="V333" s="184"/>
      <c r="W333" s="184"/>
      <c r="X333" s="184"/>
      <c r="Y333" s="184"/>
      <c r="Z333" s="186"/>
      <c r="AA333" s="186"/>
      <c r="AB333" s="184"/>
      <c r="AC333" s="184"/>
      <c r="AD333" s="184"/>
      <c r="AE333" s="184"/>
      <c r="AF333" s="184"/>
      <c r="AG333" s="184"/>
      <c r="AH333" s="190"/>
      <c r="AI333" s="159">
        <f t="shared" ref="AI333" si="144">SUM(D333:AH333)</f>
        <v>0</v>
      </c>
      <c r="AJ333" s="86"/>
      <c r="AK333" s="7"/>
      <c r="AL333" s="7"/>
      <c r="AM333" s="99">
        <f>SUMIF(D335:AH335, "CO", D333:AH333) + SUMIF(D335:AH335, "CO", D334:AH334)</f>
        <v>0</v>
      </c>
      <c r="AN333" s="59">
        <f ca="1">SUM(AI333:CA333)</f>
        <v>0</v>
      </c>
      <c r="AO333" s="5"/>
      <c r="AP333" s="73"/>
      <c r="AQ333" s="129"/>
      <c r="AR333" s="5"/>
    </row>
    <row r="334" spans="1:44" ht="21" x14ac:dyDescent="0.25">
      <c r="A334" s="142"/>
      <c r="B334" s="180"/>
      <c r="C334" s="94" t="s">
        <v>12</v>
      </c>
      <c r="D334" s="183"/>
      <c r="E334" s="183"/>
      <c r="F334" s="185"/>
      <c r="G334" s="187"/>
      <c r="H334" s="185"/>
      <c r="I334" s="185"/>
      <c r="J334" s="185"/>
      <c r="K334" s="185"/>
      <c r="L334" s="185"/>
      <c r="M334" s="185"/>
      <c r="N334" s="187"/>
      <c r="O334" s="185"/>
      <c r="P334" s="185"/>
      <c r="Q334" s="185"/>
      <c r="R334" s="185"/>
      <c r="S334" s="185"/>
      <c r="T334" s="187"/>
      <c r="U334" s="187"/>
      <c r="V334" s="185"/>
      <c r="W334" s="185"/>
      <c r="X334" s="185"/>
      <c r="Y334" s="185"/>
      <c r="Z334" s="187"/>
      <c r="AA334" s="187"/>
      <c r="AB334" s="185"/>
      <c r="AC334" s="185"/>
      <c r="AD334" s="185"/>
      <c r="AE334" s="185"/>
      <c r="AF334" s="185"/>
      <c r="AG334" s="185"/>
      <c r="AH334" s="191"/>
      <c r="AI334" s="160"/>
      <c r="AJ334" s="11"/>
      <c r="AK334" s="7"/>
      <c r="AL334" s="7"/>
      <c r="AM334" s="11"/>
      <c r="AN334" s="59"/>
      <c r="AO334" s="5"/>
      <c r="AP334" s="78"/>
      <c r="AQ334" s="129"/>
      <c r="AR334" s="5"/>
    </row>
    <row r="335" spans="1:44" ht="22" thickBot="1" x14ac:dyDescent="0.3">
      <c r="A335" s="178"/>
      <c r="B335" s="181"/>
      <c r="C335" s="92" t="s">
        <v>4</v>
      </c>
      <c r="D335" s="95"/>
      <c r="E335" s="95"/>
      <c r="F335" s="95"/>
      <c r="G335" s="96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7"/>
      <c r="AI335" s="36"/>
      <c r="AJ335" s="34"/>
      <c r="AK335" s="7"/>
      <c r="AL335" s="7"/>
      <c r="AM335" s="34"/>
      <c r="AN335" s="59"/>
      <c r="AO335" s="5"/>
      <c r="AP335" s="78"/>
      <c r="AQ335" s="129"/>
      <c r="AR335" s="5"/>
    </row>
    <row r="336" spans="1:44" ht="20" thickTop="1" x14ac:dyDescent="0.25">
      <c r="A336" s="144">
        <v>110</v>
      </c>
      <c r="B336" s="189"/>
      <c r="C336" s="98" t="s">
        <v>11</v>
      </c>
      <c r="D336" s="182"/>
      <c r="E336" s="182"/>
      <c r="F336" s="184"/>
      <c r="G336" s="186"/>
      <c r="H336" s="184"/>
      <c r="I336" s="184"/>
      <c r="J336" s="184"/>
      <c r="K336" s="184"/>
      <c r="L336" s="184"/>
      <c r="M336" s="184"/>
      <c r="N336" s="186"/>
      <c r="O336" s="184"/>
      <c r="P336" s="184"/>
      <c r="Q336" s="184"/>
      <c r="R336" s="184"/>
      <c r="S336" s="184"/>
      <c r="T336" s="186"/>
      <c r="U336" s="186"/>
      <c r="V336" s="184"/>
      <c r="W336" s="184"/>
      <c r="X336" s="184"/>
      <c r="Y336" s="184"/>
      <c r="Z336" s="186"/>
      <c r="AA336" s="186"/>
      <c r="AB336" s="184"/>
      <c r="AC336" s="184"/>
      <c r="AD336" s="184"/>
      <c r="AE336" s="184"/>
      <c r="AF336" s="184"/>
      <c r="AG336" s="184"/>
      <c r="AH336" s="190"/>
      <c r="AI336" s="159">
        <f>SUM(D336:AH336)</f>
        <v>0</v>
      </c>
      <c r="AJ336" s="87"/>
      <c r="AK336" s="7"/>
      <c r="AL336" s="7"/>
      <c r="AM336" s="100">
        <f>SUMIF(D338:AH338, "CO", D336:AH336) + SUMIF(D338:AH338, "CO", D337:AH337)</f>
        <v>0</v>
      </c>
      <c r="AN336" s="59">
        <f ca="1">SUM(AI336:CA336)</f>
        <v>0</v>
      </c>
      <c r="AO336" s="5"/>
      <c r="AP336" s="73"/>
      <c r="AQ336" s="129"/>
      <c r="AR336" s="5"/>
    </row>
    <row r="337" spans="1:44" ht="21" x14ac:dyDescent="0.25">
      <c r="A337" s="142"/>
      <c r="B337" s="180"/>
      <c r="C337" s="94" t="s">
        <v>12</v>
      </c>
      <c r="D337" s="183"/>
      <c r="E337" s="183"/>
      <c r="F337" s="185"/>
      <c r="G337" s="187"/>
      <c r="H337" s="185"/>
      <c r="I337" s="185"/>
      <c r="J337" s="185"/>
      <c r="K337" s="185"/>
      <c r="L337" s="185"/>
      <c r="M337" s="185"/>
      <c r="N337" s="187"/>
      <c r="O337" s="185"/>
      <c r="P337" s="185"/>
      <c r="Q337" s="185"/>
      <c r="R337" s="185"/>
      <c r="S337" s="185"/>
      <c r="T337" s="187"/>
      <c r="U337" s="187"/>
      <c r="V337" s="185"/>
      <c r="W337" s="185"/>
      <c r="X337" s="185"/>
      <c r="Y337" s="185"/>
      <c r="Z337" s="187"/>
      <c r="AA337" s="187"/>
      <c r="AB337" s="185"/>
      <c r="AC337" s="185"/>
      <c r="AD337" s="185"/>
      <c r="AE337" s="185"/>
      <c r="AF337" s="185"/>
      <c r="AG337" s="185"/>
      <c r="AH337" s="191"/>
      <c r="AI337" s="160"/>
      <c r="AJ337" s="11"/>
      <c r="AK337" s="7"/>
      <c r="AL337" s="7"/>
      <c r="AM337" s="11"/>
      <c r="AN337" s="59"/>
      <c r="AO337" s="5"/>
      <c r="AP337" s="78"/>
      <c r="AQ337" s="129"/>
      <c r="AR337" s="5"/>
    </row>
    <row r="338" spans="1:44" ht="22" thickBot="1" x14ac:dyDescent="0.3">
      <c r="A338" s="178"/>
      <c r="B338" s="181"/>
      <c r="C338" s="92" t="s">
        <v>4</v>
      </c>
      <c r="D338" s="95"/>
      <c r="E338" s="95"/>
      <c r="F338" s="95"/>
      <c r="G338" s="96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7"/>
      <c r="AI338" s="36"/>
      <c r="AJ338" s="34"/>
      <c r="AK338" s="7"/>
      <c r="AL338" s="7"/>
      <c r="AM338" s="34"/>
      <c r="AN338" s="59"/>
      <c r="AO338" s="5"/>
      <c r="AP338" s="78"/>
      <c r="AQ338" s="129"/>
      <c r="AR338" s="5"/>
    </row>
    <row r="339" spans="1:44" ht="21" thickTop="1" thickBot="1" x14ac:dyDescent="0.3">
      <c r="A339" s="188">
        <v>111</v>
      </c>
      <c r="B339" s="138"/>
      <c r="C339" s="91" t="s">
        <v>11</v>
      </c>
      <c r="D339" s="166"/>
      <c r="E339" s="166"/>
      <c r="F339" s="168"/>
      <c r="G339" s="170"/>
      <c r="H339" s="172"/>
      <c r="I339" s="172"/>
      <c r="J339" s="168"/>
      <c r="K339" s="168"/>
      <c r="L339" s="168"/>
      <c r="M339" s="168"/>
      <c r="N339" s="170"/>
      <c r="O339" s="172"/>
      <c r="P339" s="172"/>
      <c r="Q339" s="168"/>
      <c r="R339" s="168"/>
      <c r="S339" s="168"/>
      <c r="T339" s="174"/>
      <c r="U339" s="170"/>
      <c r="V339" s="172"/>
      <c r="W339" s="172"/>
      <c r="X339" s="168"/>
      <c r="Y339" s="168"/>
      <c r="Z339" s="170"/>
      <c r="AA339" s="170"/>
      <c r="AB339" s="168"/>
      <c r="AC339" s="172"/>
      <c r="AD339" s="172"/>
      <c r="AE339" s="172"/>
      <c r="AF339" s="172"/>
      <c r="AG339" s="168"/>
      <c r="AH339" s="176"/>
      <c r="AI339" s="193">
        <f>SUM(D339:AH339)</f>
        <v>0</v>
      </c>
      <c r="AJ339" s="86"/>
      <c r="AK339" s="31"/>
      <c r="AL339" s="31"/>
      <c r="AM339" s="99">
        <f>SUMIF(D341:AH341, "CO", D339:AH339) + SUMIF(D341:AH341, "CO", D340:AH340)</f>
        <v>0</v>
      </c>
      <c r="AN339" s="51">
        <f ca="1">SUM(AI339:CA339)</f>
        <v>0</v>
      </c>
      <c r="AO339" s="103"/>
      <c r="AP339" s="68"/>
      <c r="AQ339" s="127"/>
      <c r="AR339" s="40"/>
    </row>
    <row r="340" spans="1:44" ht="20" thickBot="1" x14ac:dyDescent="0.3">
      <c r="A340" s="142"/>
      <c r="B340" s="139"/>
      <c r="C340" s="3" t="s">
        <v>12</v>
      </c>
      <c r="D340" s="167"/>
      <c r="E340" s="167"/>
      <c r="F340" s="169"/>
      <c r="G340" s="171"/>
      <c r="H340" s="173"/>
      <c r="I340" s="173"/>
      <c r="J340" s="169"/>
      <c r="K340" s="169"/>
      <c r="L340" s="169"/>
      <c r="M340" s="169"/>
      <c r="N340" s="171"/>
      <c r="O340" s="173"/>
      <c r="P340" s="173"/>
      <c r="Q340" s="169"/>
      <c r="R340" s="169"/>
      <c r="S340" s="169"/>
      <c r="T340" s="175"/>
      <c r="U340" s="171"/>
      <c r="V340" s="173"/>
      <c r="W340" s="173"/>
      <c r="X340" s="169"/>
      <c r="Y340" s="169"/>
      <c r="Z340" s="171"/>
      <c r="AA340" s="171"/>
      <c r="AB340" s="169"/>
      <c r="AC340" s="173"/>
      <c r="AD340" s="173"/>
      <c r="AE340" s="173"/>
      <c r="AF340" s="173"/>
      <c r="AG340" s="169"/>
      <c r="AH340" s="177"/>
      <c r="AI340" s="192"/>
      <c r="AJ340" s="11"/>
      <c r="AK340" s="11"/>
      <c r="AL340" s="11"/>
      <c r="AM340" s="11"/>
      <c r="AN340" s="52"/>
      <c r="AO340" s="24"/>
      <c r="AP340" s="69"/>
      <c r="AQ340" s="127"/>
      <c r="AR340" s="40"/>
    </row>
    <row r="341" spans="1:44" ht="20" thickBot="1" x14ac:dyDescent="0.3">
      <c r="A341" s="178"/>
      <c r="B341" s="140"/>
      <c r="C341" s="92" t="s">
        <v>4</v>
      </c>
      <c r="D341" s="88"/>
      <c r="E341" s="88"/>
      <c r="F341" s="88"/>
      <c r="G341" s="89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90"/>
      <c r="AI341" s="36"/>
      <c r="AJ341" s="34"/>
      <c r="AK341" s="34"/>
      <c r="AL341" s="34"/>
      <c r="AM341" s="34"/>
      <c r="AN341" s="53"/>
      <c r="AO341" s="25"/>
      <c r="AP341" s="70"/>
      <c r="AQ341" s="127"/>
      <c r="AR341" s="40"/>
    </row>
    <row r="342" spans="1:44" ht="21" thickTop="1" thickBot="1" x14ac:dyDescent="0.3">
      <c r="A342" s="188">
        <v>112</v>
      </c>
      <c r="B342" s="138"/>
      <c r="C342" s="91" t="s">
        <v>11</v>
      </c>
      <c r="D342" s="166"/>
      <c r="E342" s="166"/>
      <c r="F342" s="168"/>
      <c r="G342" s="170"/>
      <c r="H342" s="172"/>
      <c r="I342" s="172"/>
      <c r="J342" s="168"/>
      <c r="K342" s="168"/>
      <c r="L342" s="168"/>
      <c r="M342" s="168"/>
      <c r="N342" s="170"/>
      <c r="O342" s="172"/>
      <c r="P342" s="172"/>
      <c r="Q342" s="168"/>
      <c r="R342" s="168"/>
      <c r="S342" s="168"/>
      <c r="T342" s="174"/>
      <c r="U342" s="170"/>
      <c r="V342" s="172"/>
      <c r="W342" s="172"/>
      <c r="X342" s="168"/>
      <c r="Y342" s="168"/>
      <c r="Z342" s="170"/>
      <c r="AA342" s="170"/>
      <c r="AB342" s="168"/>
      <c r="AC342" s="172"/>
      <c r="AD342" s="172"/>
      <c r="AE342" s="172"/>
      <c r="AF342" s="172"/>
      <c r="AG342" s="168"/>
      <c r="AH342" s="176"/>
      <c r="AI342" s="159">
        <f>SUM(D342:AH342)</f>
        <v>0</v>
      </c>
      <c r="AJ342" s="87"/>
      <c r="AK342" s="39"/>
      <c r="AL342" s="39"/>
      <c r="AM342" s="100">
        <f>SUMIF(D344:AH344, "CO", D342:AH342) + SUMIF(D344:AH344, "CO", D343:AH343)</f>
        <v>0</v>
      </c>
      <c r="AN342" s="54">
        <f ca="1">SUM(AI342:CA342)</f>
        <v>0</v>
      </c>
      <c r="AO342" s="104"/>
      <c r="AP342" s="71"/>
      <c r="AQ342" s="127"/>
      <c r="AR342" s="40"/>
    </row>
    <row r="343" spans="1:44" ht="20" thickBot="1" x14ac:dyDescent="0.3">
      <c r="A343" s="142"/>
      <c r="B343" s="139"/>
      <c r="C343" s="3" t="s">
        <v>12</v>
      </c>
      <c r="D343" s="167"/>
      <c r="E343" s="167"/>
      <c r="F343" s="169"/>
      <c r="G343" s="171"/>
      <c r="H343" s="173"/>
      <c r="I343" s="173"/>
      <c r="J343" s="169"/>
      <c r="K343" s="169"/>
      <c r="L343" s="169"/>
      <c r="M343" s="169"/>
      <c r="N343" s="171"/>
      <c r="O343" s="173"/>
      <c r="P343" s="173"/>
      <c r="Q343" s="169"/>
      <c r="R343" s="169"/>
      <c r="S343" s="169"/>
      <c r="T343" s="175"/>
      <c r="U343" s="171"/>
      <c r="V343" s="173"/>
      <c r="W343" s="173"/>
      <c r="X343" s="169"/>
      <c r="Y343" s="169"/>
      <c r="Z343" s="171"/>
      <c r="AA343" s="171"/>
      <c r="AB343" s="169"/>
      <c r="AC343" s="173"/>
      <c r="AD343" s="173"/>
      <c r="AE343" s="173"/>
      <c r="AF343" s="173"/>
      <c r="AG343" s="169"/>
      <c r="AH343" s="177"/>
      <c r="AI343" s="160"/>
      <c r="AJ343" s="11"/>
      <c r="AK343" s="11"/>
      <c r="AL343" s="11"/>
      <c r="AM343" s="11"/>
      <c r="AN343" s="52"/>
      <c r="AO343" s="24"/>
      <c r="AP343" s="69"/>
      <c r="AQ343" s="127"/>
      <c r="AR343" s="43"/>
    </row>
    <row r="344" spans="1:44" ht="20" thickBot="1" x14ac:dyDescent="0.3">
      <c r="A344" s="178"/>
      <c r="B344" s="140"/>
      <c r="C344" s="92" t="s">
        <v>4</v>
      </c>
      <c r="D344" s="88"/>
      <c r="E344" s="88"/>
      <c r="F344" s="88"/>
      <c r="G344" s="89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90"/>
      <c r="AI344" s="36"/>
      <c r="AJ344" s="34"/>
      <c r="AK344" s="34"/>
      <c r="AL344" s="34"/>
      <c r="AM344" s="34"/>
      <c r="AN344" s="53"/>
      <c r="AO344" s="25"/>
      <c r="AP344" s="70"/>
      <c r="AQ344" s="127"/>
      <c r="AR344" s="43"/>
    </row>
    <row r="345" spans="1:44" ht="21" thickTop="1" thickBot="1" x14ac:dyDescent="0.3">
      <c r="A345" s="144">
        <v>113</v>
      </c>
      <c r="B345" s="138"/>
      <c r="C345" s="91" t="s">
        <v>11</v>
      </c>
      <c r="D345" s="166"/>
      <c r="E345" s="166"/>
      <c r="F345" s="168"/>
      <c r="G345" s="170"/>
      <c r="H345" s="172"/>
      <c r="I345" s="172"/>
      <c r="J345" s="168"/>
      <c r="K345" s="168"/>
      <c r="L345" s="168"/>
      <c r="M345" s="168"/>
      <c r="N345" s="170"/>
      <c r="O345" s="172"/>
      <c r="P345" s="172"/>
      <c r="Q345" s="168"/>
      <c r="R345" s="168"/>
      <c r="S345" s="168"/>
      <c r="T345" s="174"/>
      <c r="U345" s="170"/>
      <c r="V345" s="172"/>
      <c r="W345" s="172"/>
      <c r="X345" s="168"/>
      <c r="Y345" s="168"/>
      <c r="Z345" s="170"/>
      <c r="AA345" s="170"/>
      <c r="AB345" s="168"/>
      <c r="AC345" s="172"/>
      <c r="AD345" s="172"/>
      <c r="AE345" s="172"/>
      <c r="AF345" s="172"/>
      <c r="AG345" s="168"/>
      <c r="AH345" s="176"/>
      <c r="AI345" s="159">
        <f>SUM(D345:AH345)</f>
        <v>0</v>
      </c>
      <c r="AJ345" s="86"/>
      <c r="AK345" s="32"/>
      <c r="AL345" s="8"/>
      <c r="AM345" s="99">
        <f>SUMIF(D347:AH347, "CO", D345:AH345) + SUMIF(D347:AH347, "CO", D346:AH346)</f>
        <v>0</v>
      </c>
      <c r="AN345" s="55">
        <f ca="1">SUM(AI345:CA345)</f>
        <v>0</v>
      </c>
      <c r="AO345" s="8"/>
      <c r="AP345" s="72"/>
      <c r="AQ345" s="127"/>
      <c r="AR345" s="44"/>
    </row>
    <row r="346" spans="1:44" ht="20" thickBot="1" x14ac:dyDescent="0.3">
      <c r="A346" s="142"/>
      <c r="B346" s="139"/>
      <c r="C346" s="3" t="s">
        <v>12</v>
      </c>
      <c r="D346" s="167"/>
      <c r="E346" s="167"/>
      <c r="F346" s="169"/>
      <c r="G346" s="171"/>
      <c r="H346" s="173"/>
      <c r="I346" s="173"/>
      <c r="J346" s="169"/>
      <c r="K346" s="169"/>
      <c r="L346" s="169"/>
      <c r="M346" s="169"/>
      <c r="N346" s="171"/>
      <c r="O346" s="173"/>
      <c r="P346" s="173"/>
      <c r="Q346" s="169"/>
      <c r="R346" s="169"/>
      <c r="S346" s="169"/>
      <c r="T346" s="175"/>
      <c r="U346" s="171"/>
      <c r="V346" s="173"/>
      <c r="W346" s="173"/>
      <c r="X346" s="169"/>
      <c r="Y346" s="169"/>
      <c r="Z346" s="171"/>
      <c r="AA346" s="171"/>
      <c r="AB346" s="169"/>
      <c r="AC346" s="173"/>
      <c r="AD346" s="173"/>
      <c r="AE346" s="173"/>
      <c r="AF346" s="173"/>
      <c r="AG346" s="169"/>
      <c r="AH346" s="177"/>
      <c r="AI346" s="160"/>
      <c r="AJ346" s="11"/>
      <c r="AK346" s="21"/>
      <c r="AL346" s="7"/>
      <c r="AM346" s="11"/>
      <c r="AN346" s="56"/>
      <c r="AO346" s="5"/>
      <c r="AP346" s="73"/>
      <c r="AQ346" s="127"/>
      <c r="AR346" s="5"/>
    </row>
    <row r="347" spans="1:44" ht="20" thickBot="1" x14ac:dyDescent="0.3">
      <c r="A347" s="178"/>
      <c r="B347" s="140"/>
      <c r="C347" s="92" t="s">
        <v>4</v>
      </c>
      <c r="D347" s="88"/>
      <c r="E347" s="88"/>
      <c r="F347" s="88"/>
      <c r="G347" s="89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90"/>
      <c r="AI347" s="36"/>
      <c r="AJ347" s="34"/>
      <c r="AK347" s="33"/>
      <c r="AL347" s="28"/>
      <c r="AM347" s="34"/>
      <c r="AN347" s="57"/>
      <c r="AO347" s="30"/>
      <c r="AP347" s="74"/>
      <c r="AQ347" s="127"/>
      <c r="AR347" s="5"/>
    </row>
    <row r="348" spans="1:44" ht="21" thickTop="1" thickBot="1" x14ac:dyDescent="0.3">
      <c r="A348" s="188">
        <v>114</v>
      </c>
      <c r="B348" s="179"/>
      <c r="C348" s="93" t="s">
        <v>11</v>
      </c>
      <c r="D348" s="182"/>
      <c r="E348" s="182"/>
      <c r="F348" s="184"/>
      <c r="G348" s="186"/>
      <c r="H348" s="184"/>
      <c r="I348" s="184"/>
      <c r="J348" s="184"/>
      <c r="K348" s="184"/>
      <c r="L348" s="184"/>
      <c r="M348" s="184"/>
      <c r="N348" s="186"/>
      <c r="O348" s="184"/>
      <c r="P348" s="184"/>
      <c r="Q348" s="184"/>
      <c r="R348" s="184"/>
      <c r="S348" s="184"/>
      <c r="T348" s="186"/>
      <c r="U348" s="186"/>
      <c r="V348" s="184"/>
      <c r="W348" s="184"/>
      <c r="X348" s="184"/>
      <c r="Y348" s="184"/>
      <c r="Z348" s="186"/>
      <c r="AA348" s="186"/>
      <c r="AB348" s="184"/>
      <c r="AC348" s="184"/>
      <c r="AD348" s="184"/>
      <c r="AE348" s="184"/>
      <c r="AF348" s="184"/>
      <c r="AG348" s="184"/>
      <c r="AH348" s="190"/>
      <c r="AI348" s="159">
        <f>SUM(D348:AH348)</f>
        <v>0</v>
      </c>
      <c r="AJ348" s="87"/>
      <c r="AK348" s="12"/>
      <c r="AL348" s="18"/>
      <c r="AM348" s="100">
        <f>SUMIF(D350:AH350, "CO", D348:AH348) + SUMIF(D350:AH350, "CO", D349:AH349)</f>
        <v>0</v>
      </c>
      <c r="AN348" s="58">
        <f ca="1">SUM(AI348:CA348)</f>
        <v>0</v>
      </c>
      <c r="AO348" s="17"/>
      <c r="AP348" s="75"/>
      <c r="AQ348" s="127"/>
      <c r="AR348" s="45"/>
    </row>
    <row r="349" spans="1:44" ht="20" thickBot="1" x14ac:dyDescent="0.3">
      <c r="A349" s="142"/>
      <c r="B349" s="180"/>
      <c r="C349" s="94" t="s">
        <v>12</v>
      </c>
      <c r="D349" s="183"/>
      <c r="E349" s="183"/>
      <c r="F349" s="185"/>
      <c r="G349" s="187"/>
      <c r="H349" s="185"/>
      <c r="I349" s="185"/>
      <c r="J349" s="185"/>
      <c r="K349" s="185"/>
      <c r="L349" s="185"/>
      <c r="M349" s="185"/>
      <c r="N349" s="187"/>
      <c r="O349" s="185"/>
      <c r="P349" s="185"/>
      <c r="Q349" s="185"/>
      <c r="R349" s="185"/>
      <c r="S349" s="185"/>
      <c r="T349" s="187"/>
      <c r="U349" s="187"/>
      <c r="V349" s="185"/>
      <c r="W349" s="185"/>
      <c r="X349" s="185"/>
      <c r="Y349" s="185"/>
      <c r="Z349" s="187"/>
      <c r="AA349" s="187"/>
      <c r="AB349" s="185"/>
      <c r="AC349" s="185"/>
      <c r="AD349" s="185"/>
      <c r="AE349" s="185"/>
      <c r="AF349" s="185"/>
      <c r="AG349" s="185"/>
      <c r="AH349" s="191"/>
      <c r="AI349" s="160"/>
      <c r="AJ349" s="11"/>
      <c r="AK349" s="10"/>
      <c r="AL349" s="7"/>
      <c r="AM349" s="11"/>
      <c r="AN349" s="59"/>
      <c r="AO349" s="5"/>
      <c r="AP349" s="73"/>
      <c r="AQ349" s="127"/>
      <c r="AR349" s="5"/>
    </row>
    <row r="350" spans="1:44" ht="20" thickBot="1" x14ac:dyDescent="0.3">
      <c r="A350" s="178"/>
      <c r="B350" s="181"/>
      <c r="C350" s="92" t="s">
        <v>4</v>
      </c>
      <c r="D350" s="95"/>
      <c r="E350" s="95"/>
      <c r="F350" s="95"/>
      <c r="G350" s="96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7"/>
      <c r="AI350" s="36"/>
      <c r="AJ350" s="34"/>
      <c r="AK350" s="29"/>
      <c r="AL350" s="28"/>
      <c r="AM350" s="34"/>
      <c r="AN350" s="60"/>
      <c r="AO350" s="30"/>
      <c r="AP350" s="74"/>
      <c r="AQ350" s="127"/>
      <c r="AR350" s="5"/>
    </row>
    <row r="351" spans="1:44" ht="23" thickTop="1" thickBot="1" x14ac:dyDescent="0.3">
      <c r="A351" s="188">
        <v>115</v>
      </c>
      <c r="B351" s="189"/>
      <c r="C351" s="98" t="s">
        <v>11</v>
      </c>
      <c r="D351" s="182"/>
      <c r="E351" s="182"/>
      <c r="F351" s="184"/>
      <c r="G351" s="186"/>
      <c r="H351" s="184"/>
      <c r="I351" s="184"/>
      <c r="J351" s="184"/>
      <c r="K351" s="184"/>
      <c r="L351" s="184"/>
      <c r="M351" s="184"/>
      <c r="N351" s="186"/>
      <c r="O351" s="184"/>
      <c r="P351" s="184"/>
      <c r="Q351" s="184"/>
      <c r="R351" s="184"/>
      <c r="S351" s="184"/>
      <c r="T351" s="186"/>
      <c r="U351" s="186"/>
      <c r="V351" s="184"/>
      <c r="W351" s="184"/>
      <c r="X351" s="184"/>
      <c r="Y351" s="184"/>
      <c r="Z351" s="186"/>
      <c r="AA351" s="186"/>
      <c r="AB351" s="184"/>
      <c r="AC351" s="184"/>
      <c r="AD351" s="184"/>
      <c r="AE351" s="184"/>
      <c r="AF351" s="184"/>
      <c r="AG351" s="184"/>
      <c r="AH351" s="190"/>
      <c r="AI351" s="159">
        <f>SUM(D351:AH351)</f>
        <v>0</v>
      </c>
      <c r="AJ351" s="86"/>
      <c r="AK351" s="12"/>
      <c r="AL351" s="18"/>
      <c r="AM351" s="99">
        <f>SUMIF(D353:AH353, "CO", D351:AH351) + SUMIF(D353:AH353, "CO", D352:AH352)</f>
        <v>0</v>
      </c>
      <c r="AN351" s="58">
        <f ca="1">SUM(AI351:CA351)</f>
        <v>0</v>
      </c>
      <c r="AO351" s="17"/>
      <c r="AP351" s="75"/>
      <c r="AQ351" s="127"/>
      <c r="AR351" s="6"/>
    </row>
    <row r="352" spans="1:44" ht="20" thickBot="1" x14ac:dyDescent="0.3">
      <c r="A352" s="142"/>
      <c r="B352" s="180"/>
      <c r="C352" s="94" t="s">
        <v>12</v>
      </c>
      <c r="D352" s="183"/>
      <c r="E352" s="183"/>
      <c r="F352" s="185"/>
      <c r="G352" s="187"/>
      <c r="H352" s="185"/>
      <c r="I352" s="185"/>
      <c r="J352" s="185"/>
      <c r="K352" s="185"/>
      <c r="L352" s="185"/>
      <c r="M352" s="185"/>
      <c r="N352" s="187"/>
      <c r="O352" s="185"/>
      <c r="P352" s="185"/>
      <c r="Q352" s="185"/>
      <c r="R352" s="185"/>
      <c r="S352" s="185"/>
      <c r="T352" s="187"/>
      <c r="U352" s="187"/>
      <c r="V352" s="185"/>
      <c r="W352" s="185"/>
      <c r="X352" s="185"/>
      <c r="Y352" s="185"/>
      <c r="Z352" s="187"/>
      <c r="AA352" s="187"/>
      <c r="AB352" s="185"/>
      <c r="AC352" s="185"/>
      <c r="AD352" s="185"/>
      <c r="AE352" s="185"/>
      <c r="AF352" s="185"/>
      <c r="AG352" s="185"/>
      <c r="AH352" s="191"/>
      <c r="AI352" s="160"/>
      <c r="AJ352" s="11"/>
      <c r="AK352" s="10"/>
      <c r="AL352" s="7"/>
      <c r="AM352" s="11"/>
      <c r="AN352" s="59"/>
      <c r="AO352" s="5"/>
      <c r="AP352" s="73"/>
      <c r="AQ352" s="127"/>
      <c r="AR352" s="5"/>
    </row>
    <row r="353" spans="1:44" ht="20" thickBot="1" x14ac:dyDescent="0.3">
      <c r="A353" s="178"/>
      <c r="B353" s="181"/>
      <c r="C353" s="92" t="s">
        <v>4</v>
      </c>
      <c r="D353" s="95"/>
      <c r="E353" s="95"/>
      <c r="F353" s="95"/>
      <c r="G353" s="96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7"/>
      <c r="AI353" s="36"/>
      <c r="AJ353" s="34"/>
      <c r="AK353" s="29"/>
      <c r="AL353" s="28"/>
      <c r="AM353" s="34"/>
      <c r="AN353" s="60"/>
      <c r="AO353" s="30"/>
      <c r="AP353" s="74"/>
      <c r="AQ353" s="127"/>
      <c r="AR353" s="5"/>
    </row>
    <row r="354" spans="1:44" ht="21" thickTop="1" thickBot="1" x14ac:dyDescent="0.3">
      <c r="A354" s="144">
        <v>116</v>
      </c>
      <c r="B354" s="189"/>
      <c r="C354" s="98" t="s">
        <v>11</v>
      </c>
      <c r="D354" s="182"/>
      <c r="E354" s="182"/>
      <c r="F354" s="184"/>
      <c r="G354" s="186"/>
      <c r="H354" s="184"/>
      <c r="I354" s="184"/>
      <c r="J354" s="184"/>
      <c r="K354" s="184"/>
      <c r="L354" s="184"/>
      <c r="M354" s="184"/>
      <c r="N354" s="186"/>
      <c r="O354" s="184"/>
      <c r="P354" s="184"/>
      <c r="Q354" s="184"/>
      <c r="R354" s="184"/>
      <c r="S354" s="184"/>
      <c r="T354" s="186"/>
      <c r="U354" s="186"/>
      <c r="V354" s="184"/>
      <c r="W354" s="184"/>
      <c r="X354" s="184"/>
      <c r="Y354" s="184"/>
      <c r="Z354" s="186"/>
      <c r="AA354" s="186"/>
      <c r="AB354" s="184"/>
      <c r="AC354" s="184"/>
      <c r="AD354" s="184"/>
      <c r="AE354" s="184"/>
      <c r="AF354" s="184"/>
      <c r="AG354" s="184"/>
      <c r="AH354" s="190"/>
      <c r="AI354" s="159">
        <f t="shared" ref="AI354" si="145">SUM(D354:AH354)</f>
        <v>0</v>
      </c>
      <c r="AJ354" s="87"/>
      <c r="AK354" s="18"/>
      <c r="AL354" s="18"/>
      <c r="AM354" s="100">
        <f>SUMIF(D356:AH356, "CO", D354:AH354) + SUMIF(D356:AH356, "CO", D355:AH355)</f>
        <v>0</v>
      </c>
      <c r="AN354" s="58">
        <f ca="1">SUM(AI354:CA354)</f>
        <v>0</v>
      </c>
      <c r="AO354" s="17"/>
      <c r="AP354" s="76"/>
      <c r="AQ354" s="127"/>
      <c r="AR354" s="46"/>
    </row>
    <row r="355" spans="1:44" ht="20" thickBot="1" x14ac:dyDescent="0.3">
      <c r="A355" s="142"/>
      <c r="B355" s="180"/>
      <c r="C355" s="94" t="s">
        <v>12</v>
      </c>
      <c r="D355" s="183"/>
      <c r="E355" s="183"/>
      <c r="F355" s="185"/>
      <c r="G355" s="187"/>
      <c r="H355" s="185"/>
      <c r="I355" s="185"/>
      <c r="J355" s="185"/>
      <c r="K355" s="185"/>
      <c r="L355" s="185"/>
      <c r="M355" s="185"/>
      <c r="N355" s="187"/>
      <c r="O355" s="185"/>
      <c r="P355" s="185"/>
      <c r="Q355" s="185"/>
      <c r="R355" s="185"/>
      <c r="S355" s="185"/>
      <c r="T355" s="187"/>
      <c r="U355" s="187"/>
      <c r="V355" s="185"/>
      <c r="W355" s="185"/>
      <c r="X355" s="185"/>
      <c r="Y355" s="185"/>
      <c r="Z355" s="187"/>
      <c r="AA355" s="187"/>
      <c r="AB355" s="185"/>
      <c r="AC355" s="185"/>
      <c r="AD355" s="185"/>
      <c r="AE355" s="185"/>
      <c r="AF355" s="185"/>
      <c r="AG355" s="185"/>
      <c r="AH355" s="191"/>
      <c r="AI355" s="160"/>
      <c r="AJ355" s="11"/>
      <c r="AK355" s="7"/>
      <c r="AL355" s="7"/>
      <c r="AM355" s="11"/>
      <c r="AN355" s="59"/>
      <c r="AO355" s="5"/>
      <c r="AP355" s="73"/>
      <c r="AQ355" s="127"/>
      <c r="AR355" s="5"/>
    </row>
    <row r="356" spans="1:44" ht="20" thickBot="1" x14ac:dyDescent="0.3">
      <c r="A356" s="178"/>
      <c r="B356" s="181"/>
      <c r="C356" s="92" t="s">
        <v>4</v>
      </c>
      <c r="D356" s="95"/>
      <c r="E356" s="95"/>
      <c r="F356" s="95"/>
      <c r="G356" s="96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7"/>
      <c r="AI356" s="36"/>
      <c r="AJ356" s="34"/>
      <c r="AK356" s="28"/>
      <c r="AL356" s="28"/>
      <c r="AM356" s="34"/>
      <c r="AN356" s="60"/>
      <c r="AO356" s="30"/>
      <c r="AP356" s="74"/>
      <c r="AQ356" s="127"/>
      <c r="AR356" s="5"/>
    </row>
    <row r="357" spans="1:44" ht="21" thickTop="1" thickBot="1" x14ac:dyDescent="0.3">
      <c r="A357" s="188">
        <v>117</v>
      </c>
      <c r="B357" s="138"/>
      <c r="C357" s="91" t="s">
        <v>11</v>
      </c>
      <c r="D357" s="166"/>
      <c r="E357" s="166"/>
      <c r="F357" s="168"/>
      <c r="G357" s="170"/>
      <c r="H357" s="172"/>
      <c r="I357" s="172"/>
      <c r="J357" s="168"/>
      <c r="K357" s="168"/>
      <c r="L357" s="168"/>
      <c r="M357" s="168"/>
      <c r="N357" s="170"/>
      <c r="O357" s="172"/>
      <c r="P357" s="172"/>
      <c r="Q357" s="168"/>
      <c r="R357" s="168"/>
      <c r="S357" s="168"/>
      <c r="T357" s="174"/>
      <c r="U357" s="170"/>
      <c r="V357" s="172"/>
      <c r="W357" s="172"/>
      <c r="X357" s="168"/>
      <c r="Y357" s="168"/>
      <c r="Z357" s="170"/>
      <c r="AA357" s="170"/>
      <c r="AB357" s="168"/>
      <c r="AC357" s="172"/>
      <c r="AD357" s="172"/>
      <c r="AE357" s="172"/>
      <c r="AF357" s="172"/>
      <c r="AG357" s="168"/>
      <c r="AH357" s="176"/>
      <c r="AI357" s="159">
        <f t="shared" ref="AI357" si="146">SUM(D357:AH357)</f>
        <v>0</v>
      </c>
      <c r="AJ357" s="86"/>
      <c r="AK357" s="18"/>
      <c r="AL357" s="26"/>
      <c r="AM357" s="99">
        <f>SUMIF(D359:AH359, "CO", D357:AH357) + SUMIF(D359:AH359, "CO", D358:AH358)</f>
        <v>0</v>
      </c>
      <c r="AN357" s="61">
        <f ca="1">SUM(AI357:CA357)</f>
        <v>0</v>
      </c>
      <c r="AO357" s="27"/>
      <c r="AP357" s="77"/>
      <c r="AQ357" s="127"/>
      <c r="AR357" s="5"/>
    </row>
    <row r="358" spans="1:44" ht="22" thickBot="1" x14ac:dyDescent="0.3">
      <c r="A358" s="142"/>
      <c r="B358" s="139"/>
      <c r="C358" s="3" t="s">
        <v>12</v>
      </c>
      <c r="D358" s="167"/>
      <c r="E358" s="167"/>
      <c r="F358" s="169"/>
      <c r="G358" s="171"/>
      <c r="H358" s="173"/>
      <c r="I358" s="173"/>
      <c r="J358" s="169"/>
      <c r="K358" s="169"/>
      <c r="L358" s="169"/>
      <c r="M358" s="169"/>
      <c r="N358" s="171"/>
      <c r="O358" s="173"/>
      <c r="P358" s="173"/>
      <c r="Q358" s="169"/>
      <c r="R358" s="169"/>
      <c r="S358" s="169"/>
      <c r="T358" s="175"/>
      <c r="U358" s="171"/>
      <c r="V358" s="173"/>
      <c r="W358" s="173"/>
      <c r="X358" s="169"/>
      <c r="Y358" s="169"/>
      <c r="Z358" s="171"/>
      <c r="AA358" s="171"/>
      <c r="AB358" s="169"/>
      <c r="AC358" s="173"/>
      <c r="AD358" s="173"/>
      <c r="AE358" s="173"/>
      <c r="AF358" s="173"/>
      <c r="AG358" s="169"/>
      <c r="AH358" s="177"/>
      <c r="AI358" s="160"/>
      <c r="AJ358" s="11"/>
      <c r="AK358" s="7"/>
      <c r="AL358" s="7"/>
      <c r="AM358" s="11"/>
      <c r="AN358" s="59"/>
      <c r="AO358" s="5"/>
      <c r="AP358" s="78"/>
      <c r="AQ358" s="127"/>
      <c r="AR358" s="5"/>
    </row>
    <row r="359" spans="1:44" ht="20" thickBot="1" x14ac:dyDescent="0.3">
      <c r="A359" s="178"/>
      <c r="B359" s="140"/>
      <c r="C359" s="92" t="s">
        <v>4</v>
      </c>
      <c r="D359" s="88"/>
      <c r="E359" s="88"/>
      <c r="F359" s="88"/>
      <c r="G359" s="89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90"/>
      <c r="AI359" s="36"/>
      <c r="AJ359" s="34"/>
      <c r="AK359" s="28"/>
      <c r="AL359" s="28"/>
      <c r="AM359" s="34"/>
      <c r="AN359" s="60"/>
      <c r="AO359" s="30"/>
      <c r="AP359" s="74"/>
      <c r="AQ359" s="127"/>
      <c r="AR359" s="5"/>
    </row>
    <row r="360" spans="1:44" ht="21" thickTop="1" thickBot="1" x14ac:dyDescent="0.3">
      <c r="A360" s="188">
        <v>118</v>
      </c>
      <c r="B360" s="138"/>
      <c r="C360" s="91" t="s">
        <v>11</v>
      </c>
      <c r="D360" s="166"/>
      <c r="E360" s="166"/>
      <c r="F360" s="168"/>
      <c r="G360" s="170"/>
      <c r="H360" s="172"/>
      <c r="I360" s="172"/>
      <c r="J360" s="168"/>
      <c r="K360" s="168"/>
      <c r="L360" s="168"/>
      <c r="M360" s="168"/>
      <c r="N360" s="170"/>
      <c r="O360" s="172"/>
      <c r="P360" s="172"/>
      <c r="Q360" s="168"/>
      <c r="R360" s="168"/>
      <c r="S360" s="168"/>
      <c r="T360" s="174"/>
      <c r="U360" s="170"/>
      <c r="V360" s="172"/>
      <c r="W360" s="172"/>
      <c r="X360" s="168"/>
      <c r="Y360" s="168"/>
      <c r="Z360" s="170"/>
      <c r="AA360" s="170"/>
      <c r="AB360" s="168"/>
      <c r="AC360" s="172"/>
      <c r="AD360" s="172"/>
      <c r="AE360" s="172"/>
      <c r="AF360" s="172"/>
      <c r="AG360" s="168"/>
      <c r="AH360" s="176"/>
      <c r="AI360" s="159">
        <f t="shared" ref="AI360" si="147">SUM(D360:AH360)</f>
        <v>0</v>
      </c>
      <c r="AJ360" s="87"/>
      <c r="AK360" s="18"/>
      <c r="AL360" s="26"/>
      <c r="AM360" s="100">
        <f>SUMIF(D362:AH362, "CO", D360:AH360) + SUMIF(D362:AH362, "CO", D361:AH361)</f>
        <v>0</v>
      </c>
      <c r="AN360" s="61">
        <f ca="1">SUM(AI360:CA360)</f>
        <v>0</v>
      </c>
      <c r="AO360" s="27"/>
      <c r="AP360" s="77"/>
      <c r="AQ360" s="127"/>
      <c r="AR360" s="5"/>
    </row>
    <row r="361" spans="1:44" ht="22" thickBot="1" x14ac:dyDescent="0.3">
      <c r="A361" s="142"/>
      <c r="B361" s="139"/>
      <c r="C361" s="3" t="s">
        <v>12</v>
      </c>
      <c r="D361" s="167"/>
      <c r="E361" s="167"/>
      <c r="F361" s="169"/>
      <c r="G361" s="171"/>
      <c r="H361" s="173"/>
      <c r="I361" s="173"/>
      <c r="J361" s="169"/>
      <c r="K361" s="169"/>
      <c r="L361" s="169"/>
      <c r="M361" s="169"/>
      <c r="N361" s="171"/>
      <c r="O361" s="173"/>
      <c r="P361" s="173"/>
      <c r="Q361" s="169"/>
      <c r="R361" s="169"/>
      <c r="S361" s="169"/>
      <c r="T361" s="175"/>
      <c r="U361" s="171"/>
      <c r="V361" s="173"/>
      <c r="W361" s="173"/>
      <c r="X361" s="169"/>
      <c r="Y361" s="169"/>
      <c r="Z361" s="171"/>
      <c r="AA361" s="171"/>
      <c r="AB361" s="169"/>
      <c r="AC361" s="173"/>
      <c r="AD361" s="173"/>
      <c r="AE361" s="173"/>
      <c r="AF361" s="173"/>
      <c r="AG361" s="169"/>
      <c r="AH361" s="177"/>
      <c r="AI361" s="160"/>
      <c r="AJ361" s="11"/>
      <c r="AK361" s="7"/>
      <c r="AL361" s="7"/>
      <c r="AM361" s="11"/>
      <c r="AN361" s="59"/>
      <c r="AO361" s="5"/>
      <c r="AP361" s="78"/>
      <c r="AQ361" s="127"/>
      <c r="AR361" s="5"/>
    </row>
    <row r="362" spans="1:44" ht="20" thickBot="1" x14ac:dyDescent="0.3">
      <c r="A362" s="178"/>
      <c r="B362" s="140"/>
      <c r="C362" s="92" t="s">
        <v>4</v>
      </c>
      <c r="D362" s="88"/>
      <c r="E362" s="88"/>
      <c r="F362" s="88"/>
      <c r="G362" s="89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90"/>
      <c r="AI362" s="36"/>
      <c r="AJ362" s="34"/>
      <c r="AK362" s="28"/>
      <c r="AL362" s="28"/>
      <c r="AM362" s="34"/>
      <c r="AN362" s="60"/>
      <c r="AO362" s="30"/>
      <c r="AP362" s="74"/>
      <c r="AQ362" s="127"/>
      <c r="AR362" s="5"/>
    </row>
    <row r="363" spans="1:44" ht="21" thickTop="1" thickBot="1" x14ac:dyDescent="0.3">
      <c r="A363" s="144">
        <v>119</v>
      </c>
      <c r="B363" s="138"/>
      <c r="C363" s="91" t="s">
        <v>11</v>
      </c>
      <c r="D363" s="166"/>
      <c r="E363" s="166"/>
      <c r="F363" s="168"/>
      <c r="G363" s="170"/>
      <c r="H363" s="172"/>
      <c r="I363" s="172"/>
      <c r="J363" s="168"/>
      <c r="K363" s="168"/>
      <c r="L363" s="168"/>
      <c r="M363" s="168"/>
      <c r="N363" s="170"/>
      <c r="O363" s="172"/>
      <c r="P363" s="172"/>
      <c r="Q363" s="168"/>
      <c r="R363" s="168"/>
      <c r="S363" s="168"/>
      <c r="T363" s="174"/>
      <c r="U363" s="170"/>
      <c r="V363" s="172"/>
      <c r="W363" s="172"/>
      <c r="X363" s="168"/>
      <c r="Y363" s="168"/>
      <c r="Z363" s="170"/>
      <c r="AA363" s="170"/>
      <c r="AB363" s="168"/>
      <c r="AC363" s="172"/>
      <c r="AD363" s="172"/>
      <c r="AE363" s="172"/>
      <c r="AF363" s="172"/>
      <c r="AG363" s="168"/>
      <c r="AH363" s="176"/>
      <c r="AI363" s="159">
        <f t="shared" ref="AI363" si="148">SUM(D363:AH363)</f>
        <v>0</v>
      </c>
      <c r="AJ363" s="86"/>
      <c r="AK363" s="18"/>
      <c r="AL363" s="26"/>
      <c r="AM363" s="99">
        <f>SUMIF(D365:AH365, "CO", D363:AH363) + SUMIF(D365:AH365, "CO", D364:AH364)</f>
        <v>0</v>
      </c>
      <c r="AN363" s="61">
        <f ca="1">SUM(AI363:CA363)</f>
        <v>0</v>
      </c>
      <c r="AO363" s="27"/>
      <c r="AP363" s="77"/>
      <c r="AQ363" s="127"/>
      <c r="AR363" s="5"/>
    </row>
    <row r="364" spans="1:44" ht="22" thickBot="1" x14ac:dyDescent="0.3">
      <c r="A364" s="142"/>
      <c r="B364" s="139"/>
      <c r="C364" s="3" t="s">
        <v>12</v>
      </c>
      <c r="D364" s="167"/>
      <c r="E364" s="167"/>
      <c r="F364" s="169"/>
      <c r="G364" s="171"/>
      <c r="H364" s="173"/>
      <c r="I364" s="173"/>
      <c r="J364" s="169"/>
      <c r="K364" s="169"/>
      <c r="L364" s="169"/>
      <c r="M364" s="169"/>
      <c r="N364" s="171"/>
      <c r="O364" s="173"/>
      <c r="P364" s="173"/>
      <c r="Q364" s="169"/>
      <c r="R364" s="169"/>
      <c r="S364" s="169"/>
      <c r="T364" s="175"/>
      <c r="U364" s="171"/>
      <c r="V364" s="173"/>
      <c r="W364" s="173"/>
      <c r="X364" s="169"/>
      <c r="Y364" s="169"/>
      <c r="Z364" s="171"/>
      <c r="AA364" s="171"/>
      <c r="AB364" s="169"/>
      <c r="AC364" s="173"/>
      <c r="AD364" s="173"/>
      <c r="AE364" s="173"/>
      <c r="AF364" s="173"/>
      <c r="AG364" s="169"/>
      <c r="AH364" s="177"/>
      <c r="AI364" s="160"/>
      <c r="AJ364" s="11"/>
      <c r="AK364" s="7"/>
      <c r="AL364" s="7"/>
      <c r="AM364" s="11"/>
      <c r="AN364" s="59"/>
      <c r="AO364" s="5"/>
      <c r="AP364" s="78"/>
      <c r="AQ364" s="127"/>
      <c r="AR364" s="5"/>
    </row>
    <row r="365" spans="1:44" ht="20" thickBot="1" x14ac:dyDescent="0.3">
      <c r="A365" s="178"/>
      <c r="B365" s="140"/>
      <c r="C365" s="92" t="s">
        <v>4</v>
      </c>
      <c r="D365" s="88"/>
      <c r="E365" s="88"/>
      <c r="F365" s="88"/>
      <c r="G365" s="89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90"/>
      <c r="AI365" s="36"/>
      <c r="AJ365" s="34"/>
      <c r="AK365" s="47"/>
      <c r="AL365" s="47"/>
      <c r="AM365" s="34"/>
      <c r="AN365" s="62"/>
      <c r="AO365" s="48"/>
      <c r="AP365" s="79"/>
      <c r="AQ365" s="128"/>
      <c r="AR365" s="5"/>
    </row>
    <row r="366" spans="1:44" ht="20" thickTop="1" x14ac:dyDescent="0.25">
      <c r="A366" s="188">
        <v>120</v>
      </c>
      <c r="B366" s="138"/>
      <c r="C366" s="91" t="s">
        <v>11</v>
      </c>
      <c r="D366" s="166"/>
      <c r="E366" s="166"/>
      <c r="F366" s="168"/>
      <c r="G366" s="170"/>
      <c r="H366" s="172"/>
      <c r="I366" s="172"/>
      <c r="J366" s="168"/>
      <c r="K366" s="168"/>
      <c r="L366" s="168"/>
      <c r="M366" s="168"/>
      <c r="N366" s="170"/>
      <c r="O366" s="172"/>
      <c r="P366" s="172"/>
      <c r="Q366" s="168"/>
      <c r="R366" s="168"/>
      <c r="S366" s="168"/>
      <c r="T366" s="174"/>
      <c r="U366" s="170"/>
      <c r="V366" s="172"/>
      <c r="W366" s="172"/>
      <c r="X366" s="168"/>
      <c r="Y366" s="168"/>
      <c r="Z366" s="170"/>
      <c r="AA366" s="170"/>
      <c r="AB366" s="168"/>
      <c r="AC366" s="172"/>
      <c r="AD366" s="172"/>
      <c r="AE366" s="172"/>
      <c r="AF366" s="172"/>
      <c r="AG366" s="168"/>
      <c r="AH366" s="176"/>
      <c r="AI366" s="159">
        <f t="shared" ref="AI366" si="149">SUM(D366:AH366)</f>
        <v>0</v>
      </c>
      <c r="AJ366" s="87"/>
      <c r="AK366" s="7"/>
      <c r="AL366" s="7"/>
      <c r="AM366" s="100">
        <f>SUMIF(D368:AH368, "CO", D366:AH366) + SUMIF(D368:AH368, "CO", D367:AH367)</f>
        <v>0</v>
      </c>
      <c r="AN366" s="59">
        <f ca="1">SUM(AI366:CA366)</f>
        <v>0</v>
      </c>
      <c r="AO366" s="5"/>
      <c r="AP366" s="73"/>
      <c r="AQ366" s="129"/>
      <c r="AR366" s="5"/>
    </row>
    <row r="367" spans="1:44" ht="21" x14ac:dyDescent="0.25">
      <c r="A367" s="142"/>
      <c r="B367" s="139"/>
      <c r="C367" s="3" t="s">
        <v>12</v>
      </c>
      <c r="D367" s="167"/>
      <c r="E367" s="167"/>
      <c r="F367" s="169"/>
      <c r="G367" s="171"/>
      <c r="H367" s="173"/>
      <c r="I367" s="173"/>
      <c r="J367" s="169"/>
      <c r="K367" s="169"/>
      <c r="L367" s="169"/>
      <c r="M367" s="169"/>
      <c r="N367" s="171"/>
      <c r="O367" s="173"/>
      <c r="P367" s="173"/>
      <c r="Q367" s="169"/>
      <c r="R367" s="169"/>
      <c r="S367" s="169"/>
      <c r="T367" s="175"/>
      <c r="U367" s="171"/>
      <c r="V367" s="173"/>
      <c r="W367" s="173"/>
      <c r="X367" s="169"/>
      <c r="Y367" s="169"/>
      <c r="Z367" s="171"/>
      <c r="AA367" s="171"/>
      <c r="AB367" s="169"/>
      <c r="AC367" s="173"/>
      <c r="AD367" s="173"/>
      <c r="AE367" s="173"/>
      <c r="AF367" s="173"/>
      <c r="AG367" s="169"/>
      <c r="AH367" s="177"/>
      <c r="AI367" s="160"/>
      <c r="AJ367" s="11"/>
      <c r="AK367" s="7"/>
      <c r="AL367" s="7"/>
      <c r="AM367" s="11"/>
      <c r="AN367" s="59"/>
      <c r="AO367" s="5"/>
      <c r="AP367" s="78"/>
      <c r="AQ367" s="129"/>
      <c r="AR367" s="5"/>
    </row>
    <row r="368" spans="1:44" ht="22" thickBot="1" x14ac:dyDescent="0.3">
      <c r="A368" s="178"/>
      <c r="B368" s="140"/>
      <c r="C368" s="92" t="s">
        <v>4</v>
      </c>
      <c r="D368" s="88"/>
      <c r="E368" s="88"/>
      <c r="F368" s="88"/>
      <c r="G368" s="89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90"/>
      <c r="AI368" s="36"/>
      <c r="AJ368" s="34"/>
      <c r="AK368" s="7"/>
      <c r="AL368" s="7"/>
      <c r="AM368" s="34"/>
      <c r="AN368" s="59"/>
      <c r="AO368" s="5"/>
      <c r="AP368" s="78"/>
      <c r="AQ368" s="129"/>
      <c r="AR368" s="5"/>
    </row>
    <row r="369" spans="1:44" ht="20" thickTop="1" x14ac:dyDescent="0.25">
      <c r="A369" s="188">
        <v>121</v>
      </c>
      <c r="B369" s="138"/>
      <c r="C369" s="91" t="s">
        <v>11</v>
      </c>
      <c r="D369" s="166"/>
      <c r="E369" s="166"/>
      <c r="F369" s="168"/>
      <c r="G369" s="170"/>
      <c r="H369" s="172"/>
      <c r="I369" s="172"/>
      <c r="J369" s="168"/>
      <c r="K369" s="168"/>
      <c r="L369" s="168"/>
      <c r="M369" s="168"/>
      <c r="N369" s="170"/>
      <c r="O369" s="172"/>
      <c r="P369" s="172"/>
      <c r="Q369" s="168"/>
      <c r="R369" s="168"/>
      <c r="S369" s="168"/>
      <c r="T369" s="174"/>
      <c r="U369" s="170"/>
      <c r="V369" s="172"/>
      <c r="W369" s="172"/>
      <c r="X369" s="168"/>
      <c r="Y369" s="168"/>
      <c r="Z369" s="170"/>
      <c r="AA369" s="170"/>
      <c r="AB369" s="168"/>
      <c r="AC369" s="172"/>
      <c r="AD369" s="172"/>
      <c r="AE369" s="172"/>
      <c r="AF369" s="172"/>
      <c r="AG369" s="168"/>
      <c r="AH369" s="176"/>
      <c r="AI369" s="159">
        <f t="shared" ref="AI369" si="150">SUM(D369:AH369)</f>
        <v>0</v>
      </c>
      <c r="AJ369" s="86"/>
      <c r="AK369" s="7"/>
      <c r="AL369" s="7"/>
      <c r="AM369" s="99">
        <f>SUMIF(D371:AH371, "CO", D369:AH369) + SUMIF(D371:AH371, "CO", D370:AH370)</f>
        <v>0</v>
      </c>
      <c r="AN369" s="59">
        <f ca="1">SUM(AI369:CA369)</f>
        <v>0</v>
      </c>
      <c r="AO369" s="5"/>
      <c r="AP369" s="73"/>
      <c r="AQ369" s="129"/>
      <c r="AR369" s="5"/>
    </row>
    <row r="370" spans="1:44" ht="21" x14ac:dyDescent="0.25">
      <c r="A370" s="142"/>
      <c r="B370" s="139"/>
      <c r="C370" s="3" t="s">
        <v>12</v>
      </c>
      <c r="D370" s="167"/>
      <c r="E370" s="167"/>
      <c r="F370" s="169"/>
      <c r="G370" s="171"/>
      <c r="H370" s="173"/>
      <c r="I370" s="173"/>
      <c r="J370" s="169"/>
      <c r="K370" s="169"/>
      <c r="L370" s="169"/>
      <c r="M370" s="169"/>
      <c r="N370" s="171"/>
      <c r="O370" s="173"/>
      <c r="P370" s="173"/>
      <c r="Q370" s="169"/>
      <c r="R370" s="169"/>
      <c r="S370" s="169"/>
      <c r="T370" s="175"/>
      <c r="U370" s="171"/>
      <c r="V370" s="173"/>
      <c r="W370" s="173"/>
      <c r="X370" s="169"/>
      <c r="Y370" s="169"/>
      <c r="Z370" s="171"/>
      <c r="AA370" s="171"/>
      <c r="AB370" s="169"/>
      <c r="AC370" s="173"/>
      <c r="AD370" s="173"/>
      <c r="AE370" s="173"/>
      <c r="AF370" s="173"/>
      <c r="AG370" s="169"/>
      <c r="AH370" s="177"/>
      <c r="AI370" s="160"/>
      <c r="AJ370" s="11"/>
      <c r="AK370" s="7"/>
      <c r="AL370" s="7"/>
      <c r="AM370" s="11"/>
      <c r="AN370" s="59"/>
      <c r="AO370" s="5"/>
      <c r="AP370" s="78"/>
      <c r="AQ370" s="129"/>
      <c r="AR370" s="5"/>
    </row>
    <row r="371" spans="1:44" ht="22" thickBot="1" x14ac:dyDescent="0.3">
      <c r="A371" s="178"/>
      <c r="B371" s="140"/>
      <c r="C371" s="92" t="s">
        <v>4</v>
      </c>
      <c r="D371" s="88"/>
      <c r="E371" s="88"/>
      <c r="F371" s="88"/>
      <c r="G371" s="89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90"/>
      <c r="AI371" s="36"/>
      <c r="AJ371" s="34"/>
      <c r="AK371" s="7"/>
      <c r="AL371" s="7"/>
      <c r="AM371" s="34"/>
      <c r="AN371" s="59"/>
      <c r="AO371" s="5"/>
      <c r="AP371" s="78"/>
      <c r="AQ371" s="129"/>
      <c r="AR371" s="5"/>
    </row>
    <row r="372" spans="1:44" ht="20" thickTop="1" x14ac:dyDescent="0.25">
      <c r="A372" s="144">
        <v>122</v>
      </c>
      <c r="B372" s="179"/>
      <c r="C372" s="93" t="s">
        <v>11</v>
      </c>
      <c r="D372" s="182"/>
      <c r="E372" s="182"/>
      <c r="F372" s="184"/>
      <c r="G372" s="186"/>
      <c r="H372" s="184"/>
      <c r="I372" s="184"/>
      <c r="J372" s="184"/>
      <c r="K372" s="184"/>
      <c r="L372" s="184"/>
      <c r="M372" s="184"/>
      <c r="N372" s="186"/>
      <c r="O372" s="184"/>
      <c r="P372" s="184"/>
      <c r="Q372" s="184"/>
      <c r="R372" s="184"/>
      <c r="S372" s="184"/>
      <c r="T372" s="186"/>
      <c r="U372" s="186"/>
      <c r="V372" s="184"/>
      <c r="W372" s="184"/>
      <c r="X372" s="184"/>
      <c r="Y372" s="184"/>
      <c r="Z372" s="186"/>
      <c r="AA372" s="186"/>
      <c r="AB372" s="184"/>
      <c r="AC372" s="184"/>
      <c r="AD372" s="184"/>
      <c r="AE372" s="184"/>
      <c r="AF372" s="184"/>
      <c r="AG372" s="184"/>
      <c r="AH372" s="190"/>
      <c r="AI372" s="159">
        <f t="shared" ref="AI372" si="151">SUM(D372:AH372)</f>
        <v>0</v>
      </c>
      <c r="AJ372" s="87"/>
      <c r="AK372" s="7"/>
      <c r="AL372" s="7"/>
      <c r="AM372" s="100">
        <f>SUMIF(D374:AH374, "CO", D372:AH372) + SUMIF(D374:AH374, "CO", D373:AH373)</f>
        <v>0</v>
      </c>
      <c r="AN372" s="59">
        <f ca="1">SUM(AI372:CA372)</f>
        <v>0</v>
      </c>
      <c r="AO372" s="5"/>
      <c r="AP372" s="73"/>
      <c r="AQ372" s="129"/>
      <c r="AR372" s="5"/>
    </row>
    <row r="373" spans="1:44" ht="21" x14ac:dyDescent="0.25">
      <c r="A373" s="142"/>
      <c r="B373" s="180"/>
      <c r="C373" s="94" t="s">
        <v>12</v>
      </c>
      <c r="D373" s="183"/>
      <c r="E373" s="183"/>
      <c r="F373" s="185"/>
      <c r="G373" s="187"/>
      <c r="H373" s="185"/>
      <c r="I373" s="185"/>
      <c r="J373" s="185"/>
      <c r="K373" s="185"/>
      <c r="L373" s="185"/>
      <c r="M373" s="185"/>
      <c r="N373" s="187"/>
      <c r="O373" s="185"/>
      <c r="P373" s="185"/>
      <c r="Q373" s="185"/>
      <c r="R373" s="185"/>
      <c r="S373" s="185"/>
      <c r="T373" s="187"/>
      <c r="U373" s="187"/>
      <c r="V373" s="185"/>
      <c r="W373" s="185"/>
      <c r="X373" s="185"/>
      <c r="Y373" s="185"/>
      <c r="Z373" s="187"/>
      <c r="AA373" s="187"/>
      <c r="AB373" s="185"/>
      <c r="AC373" s="185"/>
      <c r="AD373" s="185"/>
      <c r="AE373" s="185"/>
      <c r="AF373" s="185"/>
      <c r="AG373" s="185"/>
      <c r="AH373" s="191"/>
      <c r="AI373" s="160"/>
      <c r="AJ373" s="11"/>
      <c r="AK373" s="7"/>
      <c r="AL373" s="7"/>
      <c r="AM373" s="11"/>
      <c r="AN373" s="59"/>
      <c r="AO373" s="5"/>
      <c r="AP373" s="78"/>
      <c r="AQ373" s="129"/>
      <c r="AR373" s="5"/>
    </row>
    <row r="374" spans="1:44" ht="22" thickBot="1" x14ac:dyDescent="0.3">
      <c r="A374" s="178"/>
      <c r="B374" s="181"/>
      <c r="C374" s="92" t="s">
        <v>4</v>
      </c>
      <c r="D374" s="95"/>
      <c r="E374" s="95"/>
      <c r="F374" s="95"/>
      <c r="G374" s="96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7"/>
      <c r="AI374" s="36"/>
      <c r="AJ374" s="34"/>
      <c r="AK374" s="7"/>
      <c r="AL374" s="7"/>
      <c r="AM374" s="34"/>
      <c r="AN374" s="59"/>
      <c r="AO374" s="5"/>
      <c r="AP374" s="78"/>
      <c r="AQ374" s="129"/>
      <c r="AR374" s="5"/>
    </row>
    <row r="375" spans="1:44" ht="20" thickTop="1" x14ac:dyDescent="0.25">
      <c r="A375" s="188">
        <v>123</v>
      </c>
      <c r="B375" s="189"/>
      <c r="C375" s="98" t="s">
        <v>11</v>
      </c>
      <c r="D375" s="182"/>
      <c r="E375" s="182"/>
      <c r="F375" s="184"/>
      <c r="G375" s="186"/>
      <c r="H375" s="184"/>
      <c r="I375" s="184"/>
      <c r="J375" s="184"/>
      <c r="K375" s="184"/>
      <c r="L375" s="184"/>
      <c r="M375" s="184"/>
      <c r="N375" s="186"/>
      <c r="O375" s="184"/>
      <c r="P375" s="184"/>
      <c r="Q375" s="184"/>
      <c r="R375" s="184"/>
      <c r="S375" s="184"/>
      <c r="T375" s="186"/>
      <c r="U375" s="186"/>
      <c r="V375" s="184"/>
      <c r="W375" s="184"/>
      <c r="X375" s="184"/>
      <c r="Y375" s="184"/>
      <c r="Z375" s="186"/>
      <c r="AA375" s="186"/>
      <c r="AB375" s="184"/>
      <c r="AC375" s="184"/>
      <c r="AD375" s="184"/>
      <c r="AE375" s="184"/>
      <c r="AF375" s="184"/>
      <c r="AG375" s="184"/>
      <c r="AH375" s="190"/>
      <c r="AI375" s="159">
        <f>SUM(D375:AH375)</f>
        <v>0</v>
      </c>
      <c r="AJ375" s="86"/>
      <c r="AK375" s="7"/>
      <c r="AL375" s="7"/>
      <c r="AM375" s="99">
        <f>SUMIF(D377:AH377, "CO", D375:AH375) + SUMIF(D377:AH377, "CO", D376:AH376)</f>
        <v>0</v>
      </c>
      <c r="AN375" s="59">
        <f ca="1">SUM(AI375:CA375)</f>
        <v>0</v>
      </c>
      <c r="AO375" s="5"/>
      <c r="AP375" s="73"/>
      <c r="AQ375" s="129"/>
      <c r="AR375" s="5"/>
    </row>
    <row r="376" spans="1:44" ht="21" x14ac:dyDescent="0.25">
      <c r="A376" s="142"/>
      <c r="B376" s="180"/>
      <c r="C376" s="94" t="s">
        <v>12</v>
      </c>
      <c r="D376" s="183"/>
      <c r="E376" s="183"/>
      <c r="F376" s="185"/>
      <c r="G376" s="187"/>
      <c r="H376" s="185"/>
      <c r="I376" s="185"/>
      <c r="J376" s="185"/>
      <c r="K376" s="185"/>
      <c r="L376" s="185"/>
      <c r="M376" s="185"/>
      <c r="N376" s="187"/>
      <c r="O376" s="185"/>
      <c r="P376" s="185"/>
      <c r="Q376" s="185"/>
      <c r="R376" s="185"/>
      <c r="S376" s="185"/>
      <c r="T376" s="187"/>
      <c r="U376" s="187"/>
      <c r="V376" s="185"/>
      <c r="W376" s="185"/>
      <c r="X376" s="185"/>
      <c r="Y376" s="185"/>
      <c r="Z376" s="187"/>
      <c r="AA376" s="187"/>
      <c r="AB376" s="185"/>
      <c r="AC376" s="185"/>
      <c r="AD376" s="185"/>
      <c r="AE376" s="185"/>
      <c r="AF376" s="185"/>
      <c r="AG376" s="185"/>
      <c r="AH376" s="191"/>
      <c r="AI376" s="160"/>
      <c r="AJ376" s="11"/>
      <c r="AK376" s="7"/>
      <c r="AL376" s="7"/>
      <c r="AM376" s="11"/>
      <c r="AN376" s="59"/>
      <c r="AO376" s="5"/>
      <c r="AP376" s="78"/>
      <c r="AQ376" s="129"/>
      <c r="AR376" s="5"/>
    </row>
    <row r="377" spans="1:44" ht="22" thickBot="1" x14ac:dyDescent="0.3">
      <c r="A377" s="178"/>
      <c r="B377" s="181"/>
      <c r="C377" s="92" t="s">
        <v>4</v>
      </c>
      <c r="D377" s="95"/>
      <c r="E377" s="95"/>
      <c r="F377" s="95"/>
      <c r="G377" s="96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7"/>
      <c r="AI377" s="36"/>
      <c r="AJ377" s="34"/>
      <c r="AK377" s="7"/>
      <c r="AL377" s="7"/>
      <c r="AM377" s="34"/>
      <c r="AN377" s="59"/>
      <c r="AO377" s="5"/>
      <c r="AP377" s="78"/>
      <c r="AQ377" s="129"/>
      <c r="AR377" s="5"/>
    </row>
    <row r="378" spans="1:44" ht="20" thickTop="1" x14ac:dyDescent="0.25">
      <c r="A378" s="188">
        <v>124</v>
      </c>
      <c r="B378" s="189"/>
      <c r="C378" s="98" t="s">
        <v>11</v>
      </c>
      <c r="D378" s="182"/>
      <c r="E378" s="182"/>
      <c r="F378" s="184"/>
      <c r="G378" s="186"/>
      <c r="H378" s="184"/>
      <c r="I378" s="184"/>
      <c r="J378" s="184"/>
      <c r="K378" s="184"/>
      <c r="L378" s="184"/>
      <c r="M378" s="184"/>
      <c r="N378" s="186"/>
      <c r="O378" s="184"/>
      <c r="P378" s="184"/>
      <c r="Q378" s="184"/>
      <c r="R378" s="184"/>
      <c r="S378" s="184"/>
      <c r="T378" s="186"/>
      <c r="U378" s="186"/>
      <c r="V378" s="184"/>
      <c r="W378" s="184"/>
      <c r="X378" s="184"/>
      <c r="Y378" s="184"/>
      <c r="Z378" s="186"/>
      <c r="AA378" s="186"/>
      <c r="AB378" s="184"/>
      <c r="AC378" s="184"/>
      <c r="AD378" s="184"/>
      <c r="AE378" s="184"/>
      <c r="AF378" s="184"/>
      <c r="AG378" s="184"/>
      <c r="AH378" s="190"/>
      <c r="AI378" s="159">
        <f t="shared" ref="AI378" si="152">SUM(D378:AH378)</f>
        <v>0</v>
      </c>
      <c r="AJ378" s="87"/>
      <c r="AK378" s="7"/>
      <c r="AL378" s="7"/>
      <c r="AM378" s="100">
        <f>SUMIF(D380:AH380, "CO", D378:AH378) + SUMIF(D380:AH380, "CO", D379:AH379)</f>
        <v>0</v>
      </c>
      <c r="AN378" s="59">
        <f ca="1">SUM(AI378:CA378)</f>
        <v>0</v>
      </c>
      <c r="AO378" s="5"/>
      <c r="AP378" s="73"/>
      <c r="AQ378" s="129"/>
      <c r="AR378" s="5"/>
    </row>
    <row r="379" spans="1:44" ht="21" x14ac:dyDescent="0.25">
      <c r="A379" s="142"/>
      <c r="B379" s="180"/>
      <c r="C379" s="94" t="s">
        <v>12</v>
      </c>
      <c r="D379" s="183"/>
      <c r="E379" s="183"/>
      <c r="F379" s="185"/>
      <c r="G379" s="187"/>
      <c r="H379" s="185"/>
      <c r="I379" s="185"/>
      <c r="J379" s="185"/>
      <c r="K379" s="185"/>
      <c r="L379" s="185"/>
      <c r="M379" s="185"/>
      <c r="N379" s="187"/>
      <c r="O379" s="185"/>
      <c r="P379" s="185"/>
      <c r="Q379" s="185"/>
      <c r="R379" s="185"/>
      <c r="S379" s="185"/>
      <c r="T379" s="187"/>
      <c r="U379" s="187"/>
      <c r="V379" s="185"/>
      <c r="W379" s="185"/>
      <c r="X379" s="185"/>
      <c r="Y379" s="185"/>
      <c r="Z379" s="187"/>
      <c r="AA379" s="187"/>
      <c r="AB379" s="185"/>
      <c r="AC379" s="185"/>
      <c r="AD379" s="185"/>
      <c r="AE379" s="185"/>
      <c r="AF379" s="185"/>
      <c r="AG379" s="185"/>
      <c r="AH379" s="191"/>
      <c r="AI379" s="160"/>
      <c r="AJ379" s="11"/>
      <c r="AK379" s="7"/>
      <c r="AL379" s="7"/>
      <c r="AM379" s="11"/>
      <c r="AN379" s="59"/>
      <c r="AO379" s="5"/>
      <c r="AP379" s="78"/>
      <c r="AQ379" s="129"/>
      <c r="AR379" s="5"/>
    </row>
    <row r="380" spans="1:44" ht="22" thickBot="1" x14ac:dyDescent="0.3">
      <c r="A380" s="178"/>
      <c r="B380" s="181"/>
      <c r="C380" s="92" t="s">
        <v>4</v>
      </c>
      <c r="D380" s="95"/>
      <c r="E380" s="95"/>
      <c r="F380" s="95"/>
      <c r="G380" s="96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7"/>
      <c r="AI380" s="36"/>
      <c r="AJ380" s="34"/>
      <c r="AK380" s="7"/>
      <c r="AL380" s="7"/>
      <c r="AM380" s="34"/>
      <c r="AN380" s="59"/>
      <c r="AO380" s="5"/>
      <c r="AP380" s="78"/>
      <c r="AQ380" s="129"/>
      <c r="AR380" s="5"/>
    </row>
    <row r="793" spans="58:71" x14ac:dyDescent="0.2">
      <c r="BF793" s="115"/>
      <c r="BG793" s="115"/>
      <c r="BH793" s="115"/>
      <c r="BI793" s="115"/>
      <c r="BJ793" s="115"/>
      <c r="BK793" s="115"/>
      <c r="BL793" s="115"/>
      <c r="BM793" s="115"/>
      <c r="BN793" s="115"/>
      <c r="BO793" s="2"/>
      <c r="BP793" s="2"/>
      <c r="BQ793" s="2"/>
      <c r="BR793" s="2"/>
      <c r="BS793" s="2"/>
    </row>
    <row r="794" spans="58:71" x14ac:dyDescent="0.2">
      <c r="BF794" s="115"/>
      <c r="BG794" s="115"/>
      <c r="BH794" s="115"/>
      <c r="BI794" s="115"/>
      <c r="BJ794" s="115"/>
      <c r="BK794" s="115"/>
      <c r="BL794" s="115"/>
      <c r="BM794" s="115"/>
      <c r="BN794" s="115"/>
      <c r="BO794" s="2"/>
      <c r="BP794" s="2"/>
      <c r="BQ794" s="2"/>
      <c r="BR794" s="2"/>
      <c r="BS794" s="2"/>
    </row>
    <row r="795" spans="58:71" x14ac:dyDescent="0.2">
      <c r="BF795" s="115"/>
      <c r="BG795" s="115"/>
      <c r="BH795" s="115"/>
      <c r="BI795" s="115"/>
      <c r="BJ795" s="115"/>
      <c r="BK795" s="115"/>
      <c r="BL795" s="115"/>
      <c r="BM795" s="115"/>
      <c r="BN795" s="115"/>
      <c r="BO795" s="2"/>
      <c r="BP795" s="2"/>
      <c r="BQ795" s="2"/>
      <c r="BR795" s="2"/>
      <c r="BS795" s="2"/>
    </row>
    <row r="796" spans="58:71" x14ac:dyDescent="0.2">
      <c r="BF796" s="115"/>
      <c r="BG796" s="115"/>
      <c r="BH796" s="115"/>
      <c r="BI796" s="115"/>
      <c r="BJ796" s="115"/>
      <c r="BK796" s="115"/>
      <c r="BL796" s="115"/>
      <c r="BM796" s="115"/>
      <c r="BN796" s="115"/>
      <c r="BO796" s="2"/>
      <c r="BP796" s="2"/>
      <c r="BQ796" s="2"/>
      <c r="BR796" s="2"/>
      <c r="BS796" s="2"/>
    </row>
    <row r="797" spans="58:71" ht="19" x14ac:dyDescent="0.25">
      <c r="BF797" s="115"/>
      <c r="BG797" s="115"/>
      <c r="BH797" s="115"/>
      <c r="BI797" s="64"/>
      <c r="BJ797" s="115"/>
      <c r="BK797" s="117"/>
      <c r="BL797" s="115"/>
      <c r="BM797" s="115"/>
      <c r="BN797" s="115"/>
      <c r="BO797" s="2"/>
      <c r="BP797" s="2"/>
      <c r="BQ797" s="2"/>
      <c r="BR797" s="2"/>
      <c r="BS797" s="2"/>
    </row>
    <row r="798" spans="58:71" ht="19" x14ac:dyDescent="0.25">
      <c r="BF798" s="115"/>
      <c r="BG798" s="115"/>
      <c r="BH798" s="116"/>
      <c r="BI798" s="107"/>
      <c r="BJ798" s="116"/>
      <c r="BK798" s="118"/>
      <c r="BL798" s="116"/>
      <c r="BM798" s="116"/>
      <c r="BN798" s="116"/>
      <c r="BO798" s="101"/>
      <c r="BP798" s="101"/>
      <c r="BQ798" s="101"/>
      <c r="BR798" s="2"/>
      <c r="BS798" s="2"/>
    </row>
    <row r="799" spans="58:71" ht="19" x14ac:dyDescent="0.25">
      <c r="BF799" s="115"/>
      <c r="BG799" s="115"/>
      <c r="BH799" s="116"/>
      <c r="BI799" s="107"/>
      <c r="BJ799" s="116"/>
      <c r="BK799" s="118"/>
      <c r="BL799" s="116"/>
      <c r="BM799" s="116"/>
      <c r="BN799" s="116"/>
      <c r="BO799" s="101"/>
      <c r="BP799" s="101"/>
      <c r="BQ799" s="101"/>
      <c r="BR799" s="2"/>
      <c r="BS799" s="2"/>
    </row>
    <row r="800" spans="58:71" ht="19" x14ac:dyDescent="0.25">
      <c r="BF800" s="115"/>
      <c r="BG800" s="115"/>
      <c r="BH800" s="116"/>
      <c r="BI800" s="107"/>
      <c r="BJ800" s="116"/>
      <c r="BK800" s="118"/>
      <c r="BL800" s="116"/>
      <c r="BM800" s="116"/>
      <c r="BN800" s="116"/>
      <c r="BO800" s="101"/>
      <c r="BP800" s="101"/>
      <c r="BQ800" s="101"/>
      <c r="BR800" s="2"/>
      <c r="BS800" s="2"/>
    </row>
    <row r="801" spans="58:71" ht="19" x14ac:dyDescent="0.25">
      <c r="BF801" s="115"/>
      <c r="BG801" s="115"/>
      <c r="BH801" s="116"/>
      <c r="BI801" s="108"/>
      <c r="BJ801" s="116"/>
      <c r="BK801" s="118"/>
      <c r="BL801" s="116"/>
      <c r="BM801" s="116"/>
      <c r="BN801" s="116"/>
      <c r="BO801" s="101"/>
      <c r="BP801" s="101"/>
      <c r="BQ801" s="101"/>
      <c r="BR801" s="2"/>
      <c r="BS801" s="2"/>
    </row>
    <row r="802" spans="58:71" ht="19" x14ac:dyDescent="0.25">
      <c r="BF802" s="115"/>
      <c r="BG802" s="115"/>
      <c r="BH802" s="116"/>
      <c r="BI802" s="108"/>
      <c r="BJ802" s="116"/>
      <c r="BK802" s="118"/>
      <c r="BL802" s="116"/>
      <c r="BM802" s="116"/>
      <c r="BN802" s="116"/>
      <c r="BO802" s="101"/>
      <c r="BP802" s="101"/>
      <c r="BQ802" s="101"/>
      <c r="BR802" s="2"/>
      <c r="BS802" s="2"/>
    </row>
    <row r="803" spans="58:71" ht="19" x14ac:dyDescent="0.25">
      <c r="BF803" s="115"/>
      <c r="BG803" s="115"/>
      <c r="BH803" s="116"/>
      <c r="BI803" s="107"/>
      <c r="BJ803" s="116"/>
      <c r="BK803" s="118"/>
      <c r="BL803" s="116"/>
      <c r="BM803" s="116"/>
      <c r="BN803" s="116"/>
      <c r="BO803" s="101"/>
      <c r="BP803" s="101"/>
      <c r="BQ803" s="101"/>
      <c r="BR803" s="2"/>
      <c r="BS803" s="2"/>
    </row>
    <row r="804" spans="58:71" ht="19" x14ac:dyDescent="0.25">
      <c r="BF804" s="115"/>
      <c r="BG804" s="115"/>
      <c r="BH804" s="116"/>
      <c r="BI804" s="108"/>
      <c r="BJ804" s="116"/>
      <c r="BK804" s="118"/>
      <c r="BL804" s="116"/>
      <c r="BM804" s="116"/>
      <c r="BN804" s="116"/>
      <c r="BO804" s="101"/>
      <c r="BP804" s="101"/>
      <c r="BQ804" s="101"/>
      <c r="BR804" s="2"/>
      <c r="BS804" s="2"/>
    </row>
    <row r="805" spans="58:71" ht="19" x14ac:dyDescent="0.25">
      <c r="BF805" s="115"/>
      <c r="BG805" s="115"/>
      <c r="BH805" s="116"/>
      <c r="BI805" s="107"/>
      <c r="BJ805" s="116"/>
      <c r="BK805" s="118"/>
      <c r="BL805" s="116"/>
      <c r="BM805" s="116"/>
      <c r="BN805" s="116"/>
      <c r="BO805" s="101"/>
      <c r="BP805" s="101"/>
      <c r="BQ805" s="101"/>
      <c r="BR805" s="2"/>
      <c r="BS805" s="2"/>
    </row>
    <row r="806" spans="58:71" ht="19" x14ac:dyDescent="0.25">
      <c r="BF806" s="115"/>
      <c r="BG806" s="115"/>
      <c r="BH806" s="116"/>
      <c r="BI806" s="107"/>
      <c r="BJ806" s="116"/>
      <c r="BK806" s="118"/>
      <c r="BL806" s="116"/>
      <c r="BM806" s="116"/>
      <c r="BN806" s="116"/>
      <c r="BO806" s="101"/>
      <c r="BP806" s="101"/>
      <c r="BQ806" s="101"/>
      <c r="BR806" s="2"/>
      <c r="BS806" s="2"/>
    </row>
    <row r="807" spans="58:71" ht="19" x14ac:dyDescent="0.25">
      <c r="BF807" s="115"/>
      <c r="BG807" s="115"/>
      <c r="BH807" s="116"/>
      <c r="BI807" s="108"/>
      <c r="BJ807" s="102"/>
      <c r="BK807" s="118"/>
      <c r="BL807" s="107"/>
      <c r="BM807" s="116"/>
      <c r="BN807" s="116"/>
      <c r="BO807" s="101"/>
      <c r="BP807" s="101"/>
      <c r="BQ807" s="101"/>
      <c r="BR807" s="2"/>
      <c r="BS807" s="2"/>
    </row>
    <row r="808" spans="58:71" ht="19" x14ac:dyDescent="0.25">
      <c r="BF808" s="115"/>
      <c r="BG808" s="115"/>
      <c r="BH808" s="116"/>
      <c r="BI808" s="107"/>
      <c r="BJ808" s="102"/>
      <c r="BK808" s="118"/>
      <c r="BL808" s="107"/>
      <c r="BM808" s="116"/>
      <c r="BN808" s="116"/>
      <c r="BO808" s="101"/>
      <c r="BP808" s="101"/>
      <c r="BQ808" s="101"/>
      <c r="BR808" s="2"/>
      <c r="BS808" s="2"/>
    </row>
    <row r="809" spans="58:71" ht="19" x14ac:dyDescent="0.25">
      <c r="BF809" s="115"/>
      <c r="BG809" s="115"/>
      <c r="BH809" s="116"/>
      <c r="BI809" s="107"/>
      <c r="BJ809" s="102"/>
      <c r="BK809" s="118"/>
      <c r="BL809" s="107"/>
      <c r="BM809" s="116"/>
      <c r="BN809" s="116"/>
      <c r="BO809" s="101"/>
      <c r="BP809" s="101"/>
      <c r="BQ809" s="101"/>
      <c r="BR809" s="2"/>
      <c r="BS809" s="2"/>
    </row>
    <row r="810" spans="58:71" ht="19" x14ac:dyDescent="0.25">
      <c r="BF810" s="115"/>
      <c r="BG810" s="115"/>
      <c r="BH810" s="116"/>
      <c r="BI810" s="108"/>
      <c r="BJ810" s="102"/>
      <c r="BK810" s="118"/>
      <c r="BL810" s="107"/>
      <c r="BM810" s="116"/>
      <c r="BN810" s="116"/>
      <c r="BO810" s="101"/>
      <c r="BP810" s="101"/>
      <c r="BQ810" s="101"/>
      <c r="BR810" s="2"/>
      <c r="BS810" s="2"/>
    </row>
    <row r="811" spans="58:71" ht="19" x14ac:dyDescent="0.25">
      <c r="BF811" s="115"/>
      <c r="BG811" s="115"/>
      <c r="BH811" s="116"/>
      <c r="BI811" s="107"/>
      <c r="BJ811" s="102"/>
      <c r="BK811" s="118"/>
      <c r="BL811" s="107"/>
      <c r="BM811" s="116"/>
      <c r="BN811" s="116"/>
      <c r="BO811" s="101"/>
      <c r="BP811" s="101"/>
      <c r="BQ811" s="101"/>
      <c r="BR811" s="2"/>
      <c r="BS811" s="2"/>
    </row>
    <row r="812" spans="58:71" ht="19" x14ac:dyDescent="0.25">
      <c r="BF812" s="115"/>
      <c r="BG812" s="115"/>
      <c r="BH812" s="116"/>
      <c r="BI812" s="116"/>
      <c r="BJ812" s="102"/>
      <c r="BK812" s="116"/>
      <c r="BL812" s="107"/>
      <c r="BM812" s="116"/>
      <c r="BN812" s="116"/>
      <c r="BO812" s="101"/>
      <c r="BP812" s="101"/>
      <c r="BQ812" s="101"/>
      <c r="BR812" s="2"/>
      <c r="BS812" s="2"/>
    </row>
    <row r="813" spans="58:71" ht="19" x14ac:dyDescent="0.25">
      <c r="BF813" s="115"/>
      <c r="BG813" s="115"/>
      <c r="BH813" s="116"/>
      <c r="BI813" s="116"/>
      <c r="BJ813" s="102"/>
      <c r="BK813" s="116"/>
      <c r="BL813" s="107"/>
      <c r="BM813" s="116"/>
      <c r="BN813" s="116"/>
      <c r="BO813" s="101"/>
      <c r="BP813" s="101"/>
      <c r="BQ813" s="101"/>
      <c r="BR813" s="2"/>
      <c r="BS813" s="2"/>
    </row>
    <row r="814" spans="58:71" ht="19" x14ac:dyDescent="0.25">
      <c r="BF814" s="115"/>
      <c r="BG814" s="115"/>
      <c r="BH814" s="116"/>
      <c r="BI814" s="116"/>
      <c r="BJ814" s="102"/>
      <c r="BK814" s="116"/>
      <c r="BL814" s="107"/>
      <c r="BM814" s="116"/>
      <c r="BN814" s="116"/>
      <c r="BO814" s="101"/>
      <c r="BP814" s="101"/>
      <c r="BQ814" s="101"/>
      <c r="BR814" s="2"/>
      <c r="BS814" s="2"/>
    </row>
    <row r="815" spans="58:71" ht="19" x14ac:dyDescent="0.25">
      <c r="BF815" s="115"/>
      <c r="BG815" s="115"/>
      <c r="BH815" s="116"/>
      <c r="BI815" s="116"/>
      <c r="BJ815" s="102"/>
      <c r="BK815" s="116"/>
      <c r="BL815" s="107"/>
      <c r="BM815" s="116"/>
      <c r="BN815" s="116"/>
      <c r="BO815" s="101"/>
      <c r="BP815" s="101"/>
      <c r="BQ815" s="101"/>
      <c r="BR815" s="2"/>
      <c r="BS815" s="2"/>
    </row>
    <row r="816" spans="58:71" ht="19" x14ac:dyDescent="0.25">
      <c r="BF816" s="115"/>
      <c r="BG816" s="115"/>
      <c r="BH816" s="116"/>
      <c r="BI816" s="116"/>
      <c r="BJ816" s="102"/>
      <c r="BK816" s="116"/>
      <c r="BL816" s="107"/>
      <c r="BM816" s="116"/>
      <c r="BN816" s="116"/>
      <c r="BO816" s="101"/>
      <c r="BP816" s="101"/>
      <c r="BQ816" s="101"/>
      <c r="BR816" s="2"/>
      <c r="BS816" s="2"/>
    </row>
    <row r="817" spans="58:71" ht="19" x14ac:dyDescent="0.25">
      <c r="BF817" s="115"/>
      <c r="BG817" s="115"/>
      <c r="BH817" s="116"/>
      <c r="BI817" s="116"/>
      <c r="BJ817" s="102"/>
      <c r="BK817" s="116"/>
      <c r="BL817" s="107"/>
      <c r="BM817" s="116"/>
      <c r="BN817" s="116"/>
      <c r="BO817" s="101"/>
      <c r="BP817" s="101"/>
      <c r="BQ817" s="101"/>
      <c r="BR817" s="2"/>
      <c r="BS817" s="2"/>
    </row>
    <row r="818" spans="58:71" ht="19" x14ac:dyDescent="0.25">
      <c r="BF818" s="115"/>
      <c r="BG818" s="115"/>
      <c r="BH818" s="116"/>
      <c r="BI818" s="116"/>
      <c r="BJ818" s="102"/>
      <c r="BK818" s="116"/>
      <c r="BL818" s="107"/>
      <c r="BM818" s="116"/>
      <c r="BN818" s="116"/>
      <c r="BO818" s="101"/>
      <c r="BP818" s="101"/>
      <c r="BQ818" s="101"/>
      <c r="BR818" s="2"/>
      <c r="BS818" s="2"/>
    </row>
    <row r="819" spans="58:71" ht="19" x14ac:dyDescent="0.25">
      <c r="BF819" s="115"/>
      <c r="BG819" s="115"/>
      <c r="BH819" s="116"/>
      <c r="BI819" s="116"/>
      <c r="BJ819" s="102"/>
      <c r="BK819" s="116"/>
      <c r="BL819" s="107"/>
      <c r="BM819" s="116"/>
      <c r="BN819" s="116"/>
      <c r="BO819" s="101"/>
      <c r="BP819" s="101"/>
      <c r="BQ819" s="101"/>
      <c r="BR819" s="2"/>
      <c r="BS819" s="2"/>
    </row>
    <row r="820" spans="58:71" ht="19" x14ac:dyDescent="0.25">
      <c r="BF820" s="115"/>
      <c r="BG820" s="115"/>
      <c r="BH820" s="116"/>
      <c r="BI820" s="116"/>
      <c r="BJ820" s="102"/>
      <c r="BK820" s="116"/>
      <c r="BL820" s="107"/>
      <c r="BM820" s="116"/>
      <c r="BN820" s="116"/>
      <c r="BO820" s="101"/>
      <c r="BP820" s="101"/>
      <c r="BQ820" s="101"/>
      <c r="BR820" s="2"/>
      <c r="BS820" s="2"/>
    </row>
    <row r="821" spans="58:71" ht="19" x14ac:dyDescent="0.25">
      <c r="BF821" s="115"/>
      <c r="BG821" s="115"/>
      <c r="BH821" s="116"/>
      <c r="BI821" s="116"/>
      <c r="BJ821" s="102"/>
      <c r="BK821" s="116"/>
      <c r="BL821" s="107"/>
      <c r="BM821" s="116"/>
      <c r="BN821" s="116"/>
      <c r="BO821" s="101"/>
      <c r="BP821" s="101"/>
      <c r="BQ821" s="101"/>
      <c r="BR821" s="2"/>
      <c r="BS821" s="2"/>
    </row>
    <row r="822" spans="58:71" ht="19" x14ac:dyDescent="0.25">
      <c r="BF822" s="115"/>
      <c r="BG822" s="115"/>
      <c r="BH822" s="116"/>
      <c r="BI822" s="116"/>
      <c r="BJ822" s="102"/>
      <c r="BK822" s="116"/>
      <c r="BL822" s="116"/>
      <c r="BM822" s="116"/>
      <c r="BN822" s="116"/>
      <c r="BO822" s="101"/>
      <c r="BP822" s="101"/>
      <c r="BQ822" s="101"/>
      <c r="BR822" s="2"/>
      <c r="BS822" s="2"/>
    </row>
    <row r="823" spans="58:71" x14ac:dyDescent="0.2">
      <c r="BF823" s="115"/>
      <c r="BG823" s="115"/>
      <c r="BH823" s="116"/>
      <c r="BI823" s="116"/>
      <c r="BJ823" s="116"/>
      <c r="BK823" s="116"/>
      <c r="BL823" s="116"/>
      <c r="BM823" s="116"/>
      <c r="BN823" s="116"/>
      <c r="BO823" s="101"/>
      <c r="BP823" s="101"/>
      <c r="BQ823" s="101"/>
      <c r="BR823" s="2"/>
      <c r="BS823" s="2"/>
    </row>
    <row r="824" spans="58:71" x14ac:dyDescent="0.2">
      <c r="BF824" s="115"/>
      <c r="BG824" s="115"/>
      <c r="BH824" s="116"/>
      <c r="BI824" s="116"/>
      <c r="BJ824" s="116"/>
      <c r="BK824" s="116"/>
      <c r="BL824" s="116"/>
      <c r="BM824" s="116"/>
      <c r="BN824" s="116"/>
      <c r="BO824" s="101"/>
      <c r="BP824" s="101"/>
      <c r="BQ824" s="101"/>
      <c r="BR824" s="2"/>
      <c r="BS824" s="2"/>
    </row>
    <row r="825" spans="58:71" x14ac:dyDescent="0.2">
      <c r="BF825" s="115"/>
      <c r="BG825" s="115"/>
      <c r="BH825" s="116"/>
      <c r="BI825" s="116"/>
      <c r="BJ825" s="116"/>
      <c r="BK825" s="116"/>
      <c r="BL825" s="116"/>
      <c r="BM825" s="116"/>
      <c r="BN825" s="116"/>
      <c r="BO825" s="101"/>
      <c r="BP825" s="101"/>
      <c r="BQ825" s="101"/>
      <c r="BR825" s="2"/>
      <c r="BS825" s="2"/>
    </row>
    <row r="826" spans="58:71" x14ac:dyDescent="0.2">
      <c r="BF826" s="115"/>
      <c r="BG826" s="115"/>
      <c r="BH826" s="116"/>
      <c r="BI826" s="116"/>
      <c r="BJ826" s="116"/>
      <c r="BK826" s="116"/>
      <c r="BL826" s="116"/>
      <c r="BM826" s="116"/>
      <c r="BN826" s="116"/>
      <c r="BO826" s="101"/>
      <c r="BP826" s="101"/>
      <c r="BQ826" s="101"/>
      <c r="BR826" s="2"/>
      <c r="BS826" s="2"/>
    </row>
  </sheetData>
  <mergeCells count="4220"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B379"/>
    <mergeCell ref="AC378:AC379"/>
    <mergeCell ref="AD378:AD379"/>
    <mergeCell ref="AE378:AE379"/>
    <mergeCell ref="AF378:AF379"/>
    <mergeCell ref="AG378:AG379"/>
    <mergeCell ref="AH378:AH379"/>
    <mergeCell ref="AI378:AI379"/>
    <mergeCell ref="A378:A380"/>
    <mergeCell ref="B378:B380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Q378:Q379"/>
    <mergeCell ref="R378:R379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AE375:AE376"/>
    <mergeCell ref="AF375:AF376"/>
    <mergeCell ref="AG375:AG376"/>
    <mergeCell ref="AH375:AH376"/>
    <mergeCell ref="AI375:AI376"/>
    <mergeCell ref="A375:A377"/>
    <mergeCell ref="B375:B377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S372:S373"/>
    <mergeCell ref="T372:T373"/>
    <mergeCell ref="U372:U373"/>
    <mergeCell ref="V372:V373"/>
    <mergeCell ref="W372:W373"/>
    <mergeCell ref="X372:X373"/>
    <mergeCell ref="Y372:Y373"/>
    <mergeCell ref="Z372:Z373"/>
    <mergeCell ref="AA372:AA373"/>
    <mergeCell ref="AB372:AB373"/>
    <mergeCell ref="AC372:AC373"/>
    <mergeCell ref="AD372:AD373"/>
    <mergeCell ref="AE372:AE373"/>
    <mergeCell ref="AF372:AF373"/>
    <mergeCell ref="AG372:AG373"/>
    <mergeCell ref="AH372:AH373"/>
    <mergeCell ref="AI372:AI373"/>
    <mergeCell ref="A372:A374"/>
    <mergeCell ref="B372:B374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Q372:Q373"/>
    <mergeCell ref="R372:R373"/>
    <mergeCell ref="S369:S370"/>
    <mergeCell ref="T369:T370"/>
    <mergeCell ref="U369:U370"/>
    <mergeCell ref="V369:V370"/>
    <mergeCell ref="W369:W370"/>
    <mergeCell ref="X369:X370"/>
    <mergeCell ref="Y369:Y370"/>
    <mergeCell ref="Z369:Z370"/>
    <mergeCell ref="AA369:AA370"/>
    <mergeCell ref="AB369:AB370"/>
    <mergeCell ref="AC369:AC370"/>
    <mergeCell ref="AD369:AD370"/>
    <mergeCell ref="AE369:AE370"/>
    <mergeCell ref="AF369:AF370"/>
    <mergeCell ref="AG369:AG370"/>
    <mergeCell ref="AH369:AH370"/>
    <mergeCell ref="AI369:AI370"/>
    <mergeCell ref="A369:A371"/>
    <mergeCell ref="B369:B371"/>
    <mergeCell ref="D369:D370"/>
    <mergeCell ref="E369:E370"/>
    <mergeCell ref="F369:F370"/>
    <mergeCell ref="G369:G370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P369:P370"/>
    <mergeCell ref="Q369:Q370"/>
    <mergeCell ref="R369:R370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B367"/>
    <mergeCell ref="AC366:AC367"/>
    <mergeCell ref="AD366:AD367"/>
    <mergeCell ref="AE366:AE367"/>
    <mergeCell ref="AF366:AF367"/>
    <mergeCell ref="AG366:AG367"/>
    <mergeCell ref="AH366:AH367"/>
    <mergeCell ref="AI366:AI367"/>
    <mergeCell ref="A366:A368"/>
    <mergeCell ref="B366:B368"/>
    <mergeCell ref="D366:D367"/>
    <mergeCell ref="E366:E367"/>
    <mergeCell ref="F366:F367"/>
    <mergeCell ref="G366:G367"/>
    <mergeCell ref="H366:H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Q366:Q367"/>
    <mergeCell ref="R366:R367"/>
    <mergeCell ref="S363:S364"/>
    <mergeCell ref="T363:T364"/>
    <mergeCell ref="U363:U364"/>
    <mergeCell ref="V363:V364"/>
    <mergeCell ref="W363:W364"/>
    <mergeCell ref="X363:X364"/>
    <mergeCell ref="Y363:Y364"/>
    <mergeCell ref="Z363:Z364"/>
    <mergeCell ref="AA363:AA364"/>
    <mergeCell ref="AB363:AB364"/>
    <mergeCell ref="AC363:AC364"/>
    <mergeCell ref="AD363:AD364"/>
    <mergeCell ref="AE363:AE364"/>
    <mergeCell ref="AF363:AF364"/>
    <mergeCell ref="AG363:AG364"/>
    <mergeCell ref="AH363:AH364"/>
    <mergeCell ref="AI363:AI364"/>
    <mergeCell ref="A363:A365"/>
    <mergeCell ref="B363:B365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O363:O364"/>
    <mergeCell ref="P363:P364"/>
    <mergeCell ref="Q363:Q364"/>
    <mergeCell ref="R363:R364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B361"/>
    <mergeCell ref="AC360:AC361"/>
    <mergeCell ref="AD360:AD361"/>
    <mergeCell ref="AE360:AE361"/>
    <mergeCell ref="AF360:AF361"/>
    <mergeCell ref="AG360:AG361"/>
    <mergeCell ref="AH360:AH361"/>
    <mergeCell ref="AI360:AI361"/>
    <mergeCell ref="A360:A362"/>
    <mergeCell ref="B360:B362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Q360:Q361"/>
    <mergeCell ref="R360:R361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AH357:AH358"/>
    <mergeCell ref="AI357:AI358"/>
    <mergeCell ref="A357:A359"/>
    <mergeCell ref="B357:B359"/>
    <mergeCell ref="D357:D358"/>
    <mergeCell ref="E357:E358"/>
    <mergeCell ref="F357:F358"/>
    <mergeCell ref="G357:G358"/>
    <mergeCell ref="H357:H358"/>
    <mergeCell ref="I357:I358"/>
    <mergeCell ref="J357:J358"/>
    <mergeCell ref="K357:K358"/>
    <mergeCell ref="L357:L358"/>
    <mergeCell ref="M357:M358"/>
    <mergeCell ref="N357:N358"/>
    <mergeCell ref="O357:O358"/>
    <mergeCell ref="P357:P358"/>
    <mergeCell ref="Q357:Q358"/>
    <mergeCell ref="R357:R358"/>
    <mergeCell ref="S354:S355"/>
    <mergeCell ref="T354:T355"/>
    <mergeCell ref="U354:U355"/>
    <mergeCell ref="V354:V355"/>
    <mergeCell ref="W354:W355"/>
    <mergeCell ref="X354:X355"/>
    <mergeCell ref="Y354:Y355"/>
    <mergeCell ref="Z354:Z355"/>
    <mergeCell ref="AA354:AA355"/>
    <mergeCell ref="AB354:AB355"/>
    <mergeCell ref="AC354:AC355"/>
    <mergeCell ref="AD354:AD355"/>
    <mergeCell ref="AE354:AE355"/>
    <mergeCell ref="AF354:AF355"/>
    <mergeCell ref="AG354:AG355"/>
    <mergeCell ref="AH354:AH355"/>
    <mergeCell ref="AI354:AI355"/>
    <mergeCell ref="A354:A356"/>
    <mergeCell ref="B354:B356"/>
    <mergeCell ref="D354:D355"/>
    <mergeCell ref="E354:E355"/>
    <mergeCell ref="F354:F355"/>
    <mergeCell ref="G354:G355"/>
    <mergeCell ref="H354:H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Q354:Q355"/>
    <mergeCell ref="R354:R355"/>
    <mergeCell ref="S351:S352"/>
    <mergeCell ref="T351:T352"/>
    <mergeCell ref="U351:U352"/>
    <mergeCell ref="V351:V352"/>
    <mergeCell ref="W351:W352"/>
    <mergeCell ref="X351:X352"/>
    <mergeCell ref="Y351:Y352"/>
    <mergeCell ref="Z351:Z352"/>
    <mergeCell ref="AA351:AA352"/>
    <mergeCell ref="AB351:AB352"/>
    <mergeCell ref="AC351:AC352"/>
    <mergeCell ref="AD351:AD352"/>
    <mergeCell ref="AE351:AE352"/>
    <mergeCell ref="AF351:AF352"/>
    <mergeCell ref="AG351:AG352"/>
    <mergeCell ref="AH351:AH352"/>
    <mergeCell ref="AI351:AI352"/>
    <mergeCell ref="A351:A353"/>
    <mergeCell ref="B351:B353"/>
    <mergeCell ref="D351:D352"/>
    <mergeCell ref="E351:E352"/>
    <mergeCell ref="F351:F352"/>
    <mergeCell ref="G351:G352"/>
    <mergeCell ref="H351:H352"/>
    <mergeCell ref="I351:I352"/>
    <mergeCell ref="J351:J352"/>
    <mergeCell ref="K351:K352"/>
    <mergeCell ref="L351:L352"/>
    <mergeCell ref="M351:M352"/>
    <mergeCell ref="N351:N352"/>
    <mergeCell ref="O351:O352"/>
    <mergeCell ref="P351:P352"/>
    <mergeCell ref="Q351:Q352"/>
    <mergeCell ref="R351:R352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B349"/>
    <mergeCell ref="AC348:AC349"/>
    <mergeCell ref="AD348:AD349"/>
    <mergeCell ref="AE348:AE349"/>
    <mergeCell ref="AF348:AF349"/>
    <mergeCell ref="AG348:AG349"/>
    <mergeCell ref="AH348:AH349"/>
    <mergeCell ref="AI348:AI349"/>
    <mergeCell ref="A348:A350"/>
    <mergeCell ref="B348:B350"/>
    <mergeCell ref="D348:D349"/>
    <mergeCell ref="E348:E349"/>
    <mergeCell ref="F348:F349"/>
    <mergeCell ref="G348:G349"/>
    <mergeCell ref="H348:H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Q348:Q349"/>
    <mergeCell ref="R348:R349"/>
    <mergeCell ref="S345:S346"/>
    <mergeCell ref="T345:T346"/>
    <mergeCell ref="U345:U346"/>
    <mergeCell ref="V345:V346"/>
    <mergeCell ref="W345:W346"/>
    <mergeCell ref="X345:X346"/>
    <mergeCell ref="Y345:Y346"/>
    <mergeCell ref="Z345:Z346"/>
    <mergeCell ref="AA345:AA346"/>
    <mergeCell ref="AB345:AB346"/>
    <mergeCell ref="AC345:AC346"/>
    <mergeCell ref="AD345:AD346"/>
    <mergeCell ref="AE345:AE346"/>
    <mergeCell ref="AF345:AF346"/>
    <mergeCell ref="AG345:AG346"/>
    <mergeCell ref="AH345:AH346"/>
    <mergeCell ref="AI345:AI346"/>
    <mergeCell ref="A345:A347"/>
    <mergeCell ref="B345:B347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M345:M346"/>
    <mergeCell ref="N345:N346"/>
    <mergeCell ref="O345:O346"/>
    <mergeCell ref="P345:P346"/>
    <mergeCell ref="Q345:Q346"/>
    <mergeCell ref="R345:R346"/>
    <mergeCell ref="S342:S343"/>
    <mergeCell ref="T342:T343"/>
    <mergeCell ref="U342:U343"/>
    <mergeCell ref="V342:V343"/>
    <mergeCell ref="W342:W343"/>
    <mergeCell ref="X342:X343"/>
    <mergeCell ref="Y342:Y343"/>
    <mergeCell ref="Z342:Z343"/>
    <mergeCell ref="AA342:AA343"/>
    <mergeCell ref="AB342:AB343"/>
    <mergeCell ref="AC342:AC343"/>
    <mergeCell ref="AD342:AD343"/>
    <mergeCell ref="AE342:AE343"/>
    <mergeCell ref="AF342:AF343"/>
    <mergeCell ref="AG342:AG343"/>
    <mergeCell ref="AH342:AH343"/>
    <mergeCell ref="AI342:AI343"/>
    <mergeCell ref="A342:A344"/>
    <mergeCell ref="B342:B344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Q342:Q343"/>
    <mergeCell ref="R342:R343"/>
    <mergeCell ref="S339:S340"/>
    <mergeCell ref="T339:T340"/>
    <mergeCell ref="U339:U340"/>
    <mergeCell ref="V339:V340"/>
    <mergeCell ref="W339:W340"/>
    <mergeCell ref="X339:X340"/>
    <mergeCell ref="Y339:Y340"/>
    <mergeCell ref="Z339:Z340"/>
    <mergeCell ref="AA339:AA340"/>
    <mergeCell ref="AB339:AB340"/>
    <mergeCell ref="AC339:AC340"/>
    <mergeCell ref="AD339:AD340"/>
    <mergeCell ref="AE339:AE340"/>
    <mergeCell ref="AF339:AF340"/>
    <mergeCell ref="AG339:AG340"/>
    <mergeCell ref="AH339:AH340"/>
    <mergeCell ref="AI339:AI340"/>
    <mergeCell ref="A339:A341"/>
    <mergeCell ref="B339:B341"/>
    <mergeCell ref="D339:D340"/>
    <mergeCell ref="E339:E340"/>
    <mergeCell ref="F339:F340"/>
    <mergeCell ref="G339:G340"/>
    <mergeCell ref="H339:H340"/>
    <mergeCell ref="I339:I340"/>
    <mergeCell ref="J339:J340"/>
    <mergeCell ref="K339:K340"/>
    <mergeCell ref="L339:L340"/>
    <mergeCell ref="M339:M340"/>
    <mergeCell ref="N339:N340"/>
    <mergeCell ref="O339:O340"/>
    <mergeCell ref="P339:P340"/>
    <mergeCell ref="Q339:Q340"/>
    <mergeCell ref="R339:R340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B336:AB337"/>
    <mergeCell ref="AC336:AC337"/>
    <mergeCell ref="AD336:AD337"/>
    <mergeCell ref="AE336:AE337"/>
    <mergeCell ref="AF336:AF337"/>
    <mergeCell ref="AG336:AG337"/>
    <mergeCell ref="AH336:AH337"/>
    <mergeCell ref="AI336:AI337"/>
    <mergeCell ref="A336:A338"/>
    <mergeCell ref="B336:B338"/>
    <mergeCell ref="D336:D337"/>
    <mergeCell ref="E336:E337"/>
    <mergeCell ref="F336:F337"/>
    <mergeCell ref="G336:G337"/>
    <mergeCell ref="H336:H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Q336:Q337"/>
    <mergeCell ref="R336:R337"/>
    <mergeCell ref="S333:S334"/>
    <mergeCell ref="T333:T334"/>
    <mergeCell ref="U333:U334"/>
    <mergeCell ref="V333:V334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AF333:AF334"/>
    <mergeCell ref="AG333:AG334"/>
    <mergeCell ref="AH333:AH334"/>
    <mergeCell ref="AI333:AI334"/>
    <mergeCell ref="A333:A335"/>
    <mergeCell ref="B333:B335"/>
    <mergeCell ref="D333:D334"/>
    <mergeCell ref="E333:E334"/>
    <mergeCell ref="F333:F334"/>
    <mergeCell ref="G333:G334"/>
    <mergeCell ref="H333:H334"/>
    <mergeCell ref="I333:I334"/>
    <mergeCell ref="J333:J334"/>
    <mergeCell ref="K333:K334"/>
    <mergeCell ref="L333:L334"/>
    <mergeCell ref="M333:M334"/>
    <mergeCell ref="N333:N334"/>
    <mergeCell ref="O333:O334"/>
    <mergeCell ref="P333:P334"/>
    <mergeCell ref="Q333:Q334"/>
    <mergeCell ref="R333:R334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B331"/>
    <mergeCell ref="AC330:AC331"/>
    <mergeCell ref="AD330:AD331"/>
    <mergeCell ref="AE330:AE331"/>
    <mergeCell ref="AF330:AF331"/>
    <mergeCell ref="AG330:AG331"/>
    <mergeCell ref="AH330:AH331"/>
    <mergeCell ref="AI330:AI331"/>
    <mergeCell ref="A330:A332"/>
    <mergeCell ref="B330:B332"/>
    <mergeCell ref="D330:D331"/>
    <mergeCell ref="E330:E331"/>
    <mergeCell ref="F330:F331"/>
    <mergeCell ref="G330:G331"/>
    <mergeCell ref="H330:H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Q330:Q331"/>
    <mergeCell ref="R330:R331"/>
    <mergeCell ref="S327:S328"/>
    <mergeCell ref="T327:T328"/>
    <mergeCell ref="U327:U328"/>
    <mergeCell ref="V327:V328"/>
    <mergeCell ref="W327:W328"/>
    <mergeCell ref="X327:X328"/>
    <mergeCell ref="Y327:Y328"/>
    <mergeCell ref="Z327:Z328"/>
    <mergeCell ref="AA327:AA328"/>
    <mergeCell ref="AB327:AB328"/>
    <mergeCell ref="AC327:AC328"/>
    <mergeCell ref="AD327:AD328"/>
    <mergeCell ref="AE327:AE328"/>
    <mergeCell ref="AF327:AF328"/>
    <mergeCell ref="AG327:AG328"/>
    <mergeCell ref="AH327:AH328"/>
    <mergeCell ref="AI327:AI328"/>
    <mergeCell ref="A327:A329"/>
    <mergeCell ref="B327:B329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N327:N328"/>
    <mergeCell ref="O327:O328"/>
    <mergeCell ref="P327:P328"/>
    <mergeCell ref="Q327:Q328"/>
    <mergeCell ref="R327:R328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B325"/>
    <mergeCell ref="AC324:AC325"/>
    <mergeCell ref="AD324:AD325"/>
    <mergeCell ref="AE324:AE325"/>
    <mergeCell ref="AF324:AF325"/>
    <mergeCell ref="AG324:AG325"/>
    <mergeCell ref="AH324:AH325"/>
    <mergeCell ref="AI324:AI325"/>
    <mergeCell ref="A324:A326"/>
    <mergeCell ref="B324:B326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Q324:Q325"/>
    <mergeCell ref="R324:R325"/>
    <mergeCell ref="R321:R322"/>
    <mergeCell ref="S321:S322"/>
    <mergeCell ref="T321:T322"/>
    <mergeCell ref="U321:U322"/>
    <mergeCell ref="V321:V322"/>
    <mergeCell ref="W321:W322"/>
    <mergeCell ref="X321:X322"/>
    <mergeCell ref="Y321:Y322"/>
    <mergeCell ref="Z321:Z322"/>
    <mergeCell ref="AA321:AA322"/>
    <mergeCell ref="AB321:AB322"/>
    <mergeCell ref="AC321:AC322"/>
    <mergeCell ref="AD321:AD322"/>
    <mergeCell ref="AE321:AE322"/>
    <mergeCell ref="AF321:AF322"/>
    <mergeCell ref="AG321:AG322"/>
    <mergeCell ref="AH321:AH322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AB318:AB319"/>
    <mergeCell ref="AC318:AC319"/>
    <mergeCell ref="AD318:AD319"/>
    <mergeCell ref="AE318:AE319"/>
    <mergeCell ref="AF318:AF319"/>
    <mergeCell ref="AG318:AG319"/>
    <mergeCell ref="AH318:AH319"/>
    <mergeCell ref="A321:A323"/>
    <mergeCell ref="B321:B323"/>
    <mergeCell ref="D321:D322"/>
    <mergeCell ref="E321:E322"/>
    <mergeCell ref="F321:F322"/>
    <mergeCell ref="G321:G322"/>
    <mergeCell ref="H321:H322"/>
    <mergeCell ref="I321:I322"/>
    <mergeCell ref="J321:J322"/>
    <mergeCell ref="K321:K322"/>
    <mergeCell ref="L321:L322"/>
    <mergeCell ref="M321:M322"/>
    <mergeCell ref="N321:N322"/>
    <mergeCell ref="O321:O322"/>
    <mergeCell ref="P321:P322"/>
    <mergeCell ref="Q321:Q322"/>
    <mergeCell ref="A318:A320"/>
    <mergeCell ref="B318:B320"/>
    <mergeCell ref="D318:D319"/>
    <mergeCell ref="E318:E319"/>
    <mergeCell ref="F318:F319"/>
    <mergeCell ref="G318:G319"/>
    <mergeCell ref="H318:H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R315:R316"/>
    <mergeCell ref="S315:S316"/>
    <mergeCell ref="T315:T316"/>
    <mergeCell ref="U315:U316"/>
    <mergeCell ref="V315:V316"/>
    <mergeCell ref="W315:W316"/>
    <mergeCell ref="X315:X316"/>
    <mergeCell ref="Y315:Y316"/>
    <mergeCell ref="Z315:Z316"/>
    <mergeCell ref="AA315:AA316"/>
    <mergeCell ref="AB315:AB316"/>
    <mergeCell ref="AC315:AC316"/>
    <mergeCell ref="AD315:AD316"/>
    <mergeCell ref="AE315:AE316"/>
    <mergeCell ref="AF315:AF316"/>
    <mergeCell ref="AG315:AG316"/>
    <mergeCell ref="AH315:AH316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AC312:AC313"/>
    <mergeCell ref="AD312:AD313"/>
    <mergeCell ref="AE312:AE313"/>
    <mergeCell ref="AF312:AF313"/>
    <mergeCell ref="AG312:AG313"/>
    <mergeCell ref="AH312:AH313"/>
    <mergeCell ref="A315:A317"/>
    <mergeCell ref="B315:B317"/>
    <mergeCell ref="D315:D316"/>
    <mergeCell ref="E315:E316"/>
    <mergeCell ref="F315:F316"/>
    <mergeCell ref="G315:G316"/>
    <mergeCell ref="H315:H316"/>
    <mergeCell ref="I315:I316"/>
    <mergeCell ref="J315:J316"/>
    <mergeCell ref="K315:K316"/>
    <mergeCell ref="L315:L316"/>
    <mergeCell ref="M315:M316"/>
    <mergeCell ref="N315:N316"/>
    <mergeCell ref="O315:O316"/>
    <mergeCell ref="P315:P316"/>
    <mergeCell ref="Q315:Q316"/>
    <mergeCell ref="A312:A314"/>
    <mergeCell ref="B312:B314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Q312:Q313"/>
    <mergeCell ref="R312:R313"/>
    <mergeCell ref="R309:R310"/>
    <mergeCell ref="S309:S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AC309:AC310"/>
    <mergeCell ref="AD309:AD310"/>
    <mergeCell ref="AE309:AE310"/>
    <mergeCell ref="AF309:AF310"/>
    <mergeCell ref="AG309:AG310"/>
    <mergeCell ref="AH309:AH310"/>
    <mergeCell ref="S306:S307"/>
    <mergeCell ref="T306:T307"/>
    <mergeCell ref="U306:U307"/>
    <mergeCell ref="V306:V307"/>
    <mergeCell ref="W306:W307"/>
    <mergeCell ref="X306:X307"/>
    <mergeCell ref="Y306:Y307"/>
    <mergeCell ref="Z306:Z307"/>
    <mergeCell ref="AA306:AA307"/>
    <mergeCell ref="AB306:AB307"/>
    <mergeCell ref="AC306:AC307"/>
    <mergeCell ref="AD306:AD307"/>
    <mergeCell ref="AE306:AE307"/>
    <mergeCell ref="AF306:AF307"/>
    <mergeCell ref="AG306:AG307"/>
    <mergeCell ref="AH306:AH307"/>
    <mergeCell ref="A309:A311"/>
    <mergeCell ref="B309:B311"/>
    <mergeCell ref="D309:D310"/>
    <mergeCell ref="E309:E310"/>
    <mergeCell ref="F309:F310"/>
    <mergeCell ref="G309:G310"/>
    <mergeCell ref="H309:H310"/>
    <mergeCell ref="I309:I310"/>
    <mergeCell ref="J309:J310"/>
    <mergeCell ref="K309:K310"/>
    <mergeCell ref="L309:L310"/>
    <mergeCell ref="M309:M310"/>
    <mergeCell ref="N309:N310"/>
    <mergeCell ref="O309:O310"/>
    <mergeCell ref="P309:P310"/>
    <mergeCell ref="Q309:Q310"/>
    <mergeCell ref="A306:A308"/>
    <mergeCell ref="B306:B308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Q306:Q307"/>
    <mergeCell ref="R306:R307"/>
    <mergeCell ref="R303:R304"/>
    <mergeCell ref="S303:S304"/>
    <mergeCell ref="T303:T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AH303:AH304"/>
    <mergeCell ref="S300:S301"/>
    <mergeCell ref="T300:T301"/>
    <mergeCell ref="U300:U301"/>
    <mergeCell ref="V300:V301"/>
    <mergeCell ref="W300:W301"/>
    <mergeCell ref="X300:X301"/>
    <mergeCell ref="Y300:Y301"/>
    <mergeCell ref="Z300:Z301"/>
    <mergeCell ref="AA300:AA301"/>
    <mergeCell ref="AB300:AB301"/>
    <mergeCell ref="AC300:AC301"/>
    <mergeCell ref="AD300:AD301"/>
    <mergeCell ref="AE300:AE301"/>
    <mergeCell ref="AF300:AF301"/>
    <mergeCell ref="AG300:AG301"/>
    <mergeCell ref="AH300:AH301"/>
    <mergeCell ref="A303:A305"/>
    <mergeCell ref="B303:B305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A300:A302"/>
    <mergeCell ref="B300:B302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Q300:Q301"/>
    <mergeCell ref="R300:R301"/>
    <mergeCell ref="R297:R298"/>
    <mergeCell ref="S297:S298"/>
    <mergeCell ref="T297:T298"/>
    <mergeCell ref="U297:U298"/>
    <mergeCell ref="V297:V298"/>
    <mergeCell ref="W297:W298"/>
    <mergeCell ref="X297:X298"/>
    <mergeCell ref="Y297:Y298"/>
    <mergeCell ref="Z297:Z298"/>
    <mergeCell ref="AA297:AA298"/>
    <mergeCell ref="AB297:AB298"/>
    <mergeCell ref="AC297:AC298"/>
    <mergeCell ref="AD297:AD298"/>
    <mergeCell ref="AE297:AE298"/>
    <mergeCell ref="AF297:AF298"/>
    <mergeCell ref="AG297:AG298"/>
    <mergeCell ref="AH297:AH298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AH294:AH295"/>
    <mergeCell ref="A297:A299"/>
    <mergeCell ref="B297:B299"/>
    <mergeCell ref="D297:D298"/>
    <mergeCell ref="E297:E298"/>
    <mergeCell ref="F297:F298"/>
    <mergeCell ref="G297:G298"/>
    <mergeCell ref="H297:H298"/>
    <mergeCell ref="I297:I298"/>
    <mergeCell ref="J297:J298"/>
    <mergeCell ref="K297:K298"/>
    <mergeCell ref="L297:L298"/>
    <mergeCell ref="M297:M298"/>
    <mergeCell ref="N297:N298"/>
    <mergeCell ref="O297:O298"/>
    <mergeCell ref="P297:P298"/>
    <mergeCell ref="Q297:Q298"/>
    <mergeCell ref="A294:A296"/>
    <mergeCell ref="B294:B296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R291:R292"/>
    <mergeCell ref="S291:S292"/>
    <mergeCell ref="T291:T292"/>
    <mergeCell ref="U291:U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AE291:AE292"/>
    <mergeCell ref="AF291:AF292"/>
    <mergeCell ref="AG291:AG292"/>
    <mergeCell ref="AH291:AH292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AG288:AG289"/>
    <mergeCell ref="AH288:AH289"/>
    <mergeCell ref="A291:A293"/>
    <mergeCell ref="B291:B293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N291:N292"/>
    <mergeCell ref="O291:O292"/>
    <mergeCell ref="P291:P292"/>
    <mergeCell ref="Q291:Q292"/>
    <mergeCell ref="A288:A290"/>
    <mergeCell ref="B288:B290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Q288:Q289"/>
    <mergeCell ref="R288:R289"/>
    <mergeCell ref="R285:R286"/>
    <mergeCell ref="S285:S286"/>
    <mergeCell ref="T285:T286"/>
    <mergeCell ref="U285:U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AF285:AF286"/>
    <mergeCell ref="AG285:AG286"/>
    <mergeCell ref="AH285:AH286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285:A287"/>
    <mergeCell ref="B285:B287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N286"/>
    <mergeCell ref="O285:O286"/>
    <mergeCell ref="P285:P286"/>
    <mergeCell ref="Q285:Q286"/>
    <mergeCell ref="A282:A284"/>
    <mergeCell ref="B282:B284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AE279:AE280"/>
    <mergeCell ref="AF279:AF280"/>
    <mergeCell ref="AG279:AG280"/>
    <mergeCell ref="AH279:AH280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279:A281"/>
    <mergeCell ref="B279:B281"/>
    <mergeCell ref="D279:D280"/>
    <mergeCell ref="E279:E280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N279:N280"/>
    <mergeCell ref="O279:O280"/>
    <mergeCell ref="P279:P280"/>
    <mergeCell ref="Q279:Q280"/>
    <mergeCell ref="A276:A278"/>
    <mergeCell ref="B276:B278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A273:AA274"/>
    <mergeCell ref="AB273:AB274"/>
    <mergeCell ref="AC273:AC274"/>
    <mergeCell ref="AD273:AD274"/>
    <mergeCell ref="AE273:AE274"/>
    <mergeCell ref="AF273:AF274"/>
    <mergeCell ref="AG273:AG274"/>
    <mergeCell ref="AH273:AH274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273:A275"/>
    <mergeCell ref="B273:B275"/>
    <mergeCell ref="D273:D274"/>
    <mergeCell ref="E273:E274"/>
    <mergeCell ref="F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A270:A272"/>
    <mergeCell ref="B270:B272"/>
    <mergeCell ref="D270:D271"/>
    <mergeCell ref="E270:E271"/>
    <mergeCell ref="F270:F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R267:R268"/>
    <mergeCell ref="S267:S268"/>
    <mergeCell ref="T267:T268"/>
    <mergeCell ref="U267:U268"/>
    <mergeCell ref="V267:V268"/>
    <mergeCell ref="W267:W268"/>
    <mergeCell ref="X267:X268"/>
    <mergeCell ref="Y267:Y268"/>
    <mergeCell ref="Z267:Z268"/>
    <mergeCell ref="AA267:AA268"/>
    <mergeCell ref="AB267:AB268"/>
    <mergeCell ref="AC267:AC268"/>
    <mergeCell ref="AD267:AD268"/>
    <mergeCell ref="AE267:AE268"/>
    <mergeCell ref="AF267:AF268"/>
    <mergeCell ref="AG267:AG268"/>
    <mergeCell ref="AH267:AH268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267:A269"/>
    <mergeCell ref="B267:B269"/>
    <mergeCell ref="D267:D268"/>
    <mergeCell ref="E267:E268"/>
    <mergeCell ref="F267:F268"/>
    <mergeCell ref="G267:G268"/>
    <mergeCell ref="H267:H268"/>
    <mergeCell ref="I267:I268"/>
    <mergeCell ref="J267:J268"/>
    <mergeCell ref="K267:K268"/>
    <mergeCell ref="L267:L268"/>
    <mergeCell ref="M267:M268"/>
    <mergeCell ref="N267:N268"/>
    <mergeCell ref="O267:O268"/>
    <mergeCell ref="P267:P268"/>
    <mergeCell ref="Q267:Q268"/>
    <mergeCell ref="A264:A266"/>
    <mergeCell ref="B264:B266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AF261:AF262"/>
    <mergeCell ref="AG261:AG262"/>
    <mergeCell ref="AH261:AH262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261:A263"/>
    <mergeCell ref="B261:B263"/>
    <mergeCell ref="D261:D262"/>
    <mergeCell ref="E261:E262"/>
    <mergeCell ref="F261:F262"/>
    <mergeCell ref="G261:G262"/>
    <mergeCell ref="H261:H262"/>
    <mergeCell ref="I261:I262"/>
    <mergeCell ref="J261:J262"/>
    <mergeCell ref="K261:K262"/>
    <mergeCell ref="L261:L262"/>
    <mergeCell ref="M261:M262"/>
    <mergeCell ref="N261:N262"/>
    <mergeCell ref="O261:O262"/>
    <mergeCell ref="P261:P262"/>
    <mergeCell ref="Q261:Q262"/>
    <mergeCell ref="A258:A260"/>
    <mergeCell ref="B258:B260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AG255:AG256"/>
    <mergeCell ref="AH255:AH256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255:A257"/>
    <mergeCell ref="B255:B257"/>
    <mergeCell ref="D255:D256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A252:A254"/>
    <mergeCell ref="B252:B254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R249:R250"/>
    <mergeCell ref="S249:S250"/>
    <mergeCell ref="T249:T250"/>
    <mergeCell ref="U249:U250"/>
    <mergeCell ref="V249:V250"/>
    <mergeCell ref="W249:W250"/>
    <mergeCell ref="X249:X250"/>
    <mergeCell ref="Y249:Y250"/>
    <mergeCell ref="Z249:Z250"/>
    <mergeCell ref="AA249:AA250"/>
    <mergeCell ref="AB249:AB250"/>
    <mergeCell ref="AC249:AC250"/>
    <mergeCell ref="AD249:AD250"/>
    <mergeCell ref="AE249:AE250"/>
    <mergeCell ref="AF249:AF250"/>
    <mergeCell ref="AG249:AG250"/>
    <mergeCell ref="AH249:AH250"/>
    <mergeCell ref="S246:S247"/>
    <mergeCell ref="T246:T247"/>
    <mergeCell ref="U246:U247"/>
    <mergeCell ref="V246:V247"/>
    <mergeCell ref="W246:W247"/>
    <mergeCell ref="X246:X247"/>
    <mergeCell ref="Y246:Y247"/>
    <mergeCell ref="Z246:Z247"/>
    <mergeCell ref="AA246:AA247"/>
    <mergeCell ref="AB246:AB247"/>
    <mergeCell ref="AC246:AC247"/>
    <mergeCell ref="AD246:AD247"/>
    <mergeCell ref="AE246:AE247"/>
    <mergeCell ref="AF246:AF247"/>
    <mergeCell ref="AG246:AG247"/>
    <mergeCell ref="AH246:AH247"/>
    <mergeCell ref="A249:A251"/>
    <mergeCell ref="B249:B251"/>
    <mergeCell ref="D249:D250"/>
    <mergeCell ref="E249:E250"/>
    <mergeCell ref="F249:F250"/>
    <mergeCell ref="G249:G250"/>
    <mergeCell ref="H249:H250"/>
    <mergeCell ref="I249:I250"/>
    <mergeCell ref="J249:J250"/>
    <mergeCell ref="K249:K250"/>
    <mergeCell ref="L249:L250"/>
    <mergeCell ref="M249:M250"/>
    <mergeCell ref="N249:N250"/>
    <mergeCell ref="O249:O250"/>
    <mergeCell ref="P249:P250"/>
    <mergeCell ref="Q249:Q250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AC243:AC244"/>
    <mergeCell ref="AD243:AD244"/>
    <mergeCell ref="AE243:AE244"/>
    <mergeCell ref="AF243:AF244"/>
    <mergeCell ref="AG243:AG244"/>
    <mergeCell ref="AH243:AH244"/>
    <mergeCell ref="A246:A248"/>
    <mergeCell ref="B246:B248"/>
    <mergeCell ref="D246:D247"/>
    <mergeCell ref="E246:E247"/>
    <mergeCell ref="F246:F247"/>
    <mergeCell ref="G246:G247"/>
    <mergeCell ref="H246:H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Q246:Q247"/>
    <mergeCell ref="R246:R247"/>
    <mergeCell ref="U240:U241"/>
    <mergeCell ref="V240:V241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AE240:AE241"/>
    <mergeCell ref="AF240:AF241"/>
    <mergeCell ref="AG240:AG241"/>
    <mergeCell ref="AH240:AH241"/>
    <mergeCell ref="A243:A245"/>
    <mergeCell ref="B243:B245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P243:P244"/>
    <mergeCell ref="Q243:Q244"/>
    <mergeCell ref="R243:R244"/>
    <mergeCell ref="S243:S244"/>
    <mergeCell ref="V237:V238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AF237:AF238"/>
    <mergeCell ref="AG237:AG238"/>
    <mergeCell ref="AH237:AH238"/>
    <mergeCell ref="A240:A242"/>
    <mergeCell ref="B240:B242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AI288:AI289"/>
    <mergeCell ref="AI291:AI292"/>
    <mergeCell ref="AI294:AI295"/>
    <mergeCell ref="AI297:AI298"/>
    <mergeCell ref="AI300:AI301"/>
    <mergeCell ref="AI303:AI304"/>
    <mergeCell ref="AI306:AI307"/>
    <mergeCell ref="AI309:AI310"/>
    <mergeCell ref="AI312:AI313"/>
    <mergeCell ref="AI315:AI316"/>
    <mergeCell ref="AI318:AI319"/>
    <mergeCell ref="AI321:AI322"/>
    <mergeCell ref="A237:A239"/>
    <mergeCell ref="B237:B239"/>
    <mergeCell ref="D237:D238"/>
    <mergeCell ref="E237:E238"/>
    <mergeCell ref="F237:F238"/>
    <mergeCell ref="G237:G238"/>
    <mergeCell ref="H237:H238"/>
    <mergeCell ref="I237:I238"/>
    <mergeCell ref="J237:J238"/>
    <mergeCell ref="K237:K238"/>
    <mergeCell ref="L237:L238"/>
    <mergeCell ref="M237:M238"/>
    <mergeCell ref="N237:N238"/>
    <mergeCell ref="O237:O238"/>
    <mergeCell ref="P237:P238"/>
    <mergeCell ref="Q237:Q238"/>
    <mergeCell ref="R237:R238"/>
    <mergeCell ref="S237:S238"/>
    <mergeCell ref="T237:T238"/>
    <mergeCell ref="U237:U238"/>
    <mergeCell ref="AI237:AI238"/>
    <mergeCell ref="AI240:AI241"/>
    <mergeCell ref="AI243:AI244"/>
    <mergeCell ref="AI246:AI247"/>
    <mergeCell ref="AI249:AI250"/>
    <mergeCell ref="AI252:AI253"/>
    <mergeCell ref="AI255:AI256"/>
    <mergeCell ref="AI258:AI259"/>
    <mergeCell ref="AI261:AI262"/>
    <mergeCell ref="AI264:AI265"/>
    <mergeCell ref="AI267:AI268"/>
    <mergeCell ref="AI270:AI271"/>
    <mergeCell ref="AI273:AI274"/>
    <mergeCell ref="AI276:AI277"/>
    <mergeCell ref="AI279:AI280"/>
    <mergeCell ref="AI282:AI283"/>
    <mergeCell ref="AI285:AI286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AH234:AH235"/>
    <mergeCell ref="AI234:AI235"/>
    <mergeCell ref="A234:A236"/>
    <mergeCell ref="B234:B236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Q234:Q235"/>
    <mergeCell ref="R234:R235"/>
    <mergeCell ref="S231:S232"/>
    <mergeCell ref="T231:T232"/>
    <mergeCell ref="U231:U232"/>
    <mergeCell ref="V231:V232"/>
    <mergeCell ref="W231:W232"/>
    <mergeCell ref="X231:X232"/>
    <mergeCell ref="Y231:Y232"/>
    <mergeCell ref="Z231:Z232"/>
    <mergeCell ref="AA231:AA232"/>
    <mergeCell ref="AB231:AB232"/>
    <mergeCell ref="AC231:AC232"/>
    <mergeCell ref="AD231:AD232"/>
    <mergeCell ref="AE231:AE232"/>
    <mergeCell ref="AF231:AF232"/>
    <mergeCell ref="AG231:AG232"/>
    <mergeCell ref="AH231:AH232"/>
    <mergeCell ref="AI231:AI232"/>
    <mergeCell ref="A231:A233"/>
    <mergeCell ref="B231:B233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P231:P232"/>
    <mergeCell ref="Q231:Q232"/>
    <mergeCell ref="R231:R232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AF228:AF229"/>
    <mergeCell ref="AG228:AG229"/>
    <mergeCell ref="AH228:AH229"/>
    <mergeCell ref="AI228:AI229"/>
    <mergeCell ref="A228:A230"/>
    <mergeCell ref="B228:B230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Q228:Q229"/>
    <mergeCell ref="R228:R229"/>
    <mergeCell ref="S225:S226"/>
    <mergeCell ref="T225:T226"/>
    <mergeCell ref="U225:U226"/>
    <mergeCell ref="V225:V226"/>
    <mergeCell ref="W225:W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AG225:AG226"/>
    <mergeCell ref="AH225:AH226"/>
    <mergeCell ref="AI225:AI226"/>
    <mergeCell ref="A225:A227"/>
    <mergeCell ref="B225:B227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B222:AB223"/>
    <mergeCell ref="AC222:AC223"/>
    <mergeCell ref="AD222:AD223"/>
    <mergeCell ref="AE222:AE223"/>
    <mergeCell ref="AF222:AF223"/>
    <mergeCell ref="AG222:AG223"/>
    <mergeCell ref="AH222:AH223"/>
    <mergeCell ref="AI222:AI223"/>
    <mergeCell ref="A222:A224"/>
    <mergeCell ref="B222:B224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22:Q223"/>
    <mergeCell ref="R222:R223"/>
    <mergeCell ref="S219:S220"/>
    <mergeCell ref="T219:T220"/>
    <mergeCell ref="U219:U220"/>
    <mergeCell ref="V219:V220"/>
    <mergeCell ref="W219:W220"/>
    <mergeCell ref="X219:X220"/>
    <mergeCell ref="Y219:Y220"/>
    <mergeCell ref="Z219:Z220"/>
    <mergeCell ref="AA219:AA220"/>
    <mergeCell ref="AB219:AB220"/>
    <mergeCell ref="AC219:AC220"/>
    <mergeCell ref="AD219:AD220"/>
    <mergeCell ref="AE219:AE220"/>
    <mergeCell ref="AF219:AF220"/>
    <mergeCell ref="AG219:AG220"/>
    <mergeCell ref="AH219:AH220"/>
    <mergeCell ref="AI219:AI220"/>
    <mergeCell ref="A219:A221"/>
    <mergeCell ref="B219:B221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AF216:AF217"/>
    <mergeCell ref="AG216:AG217"/>
    <mergeCell ref="AH216:AH217"/>
    <mergeCell ref="AI216:AI217"/>
    <mergeCell ref="A216:A218"/>
    <mergeCell ref="B216:B218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S213:S214"/>
    <mergeCell ref="T213:T214"/>
    <mergeCell ref="U213:U214"/>
    <mergeCell ref="V213:V214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AF213:AF214"/>
    <mergeCell ref="AG213:AG214"/>
    <mergeCell ref="AH213:AH214"/>
    <mergeCell ref="AI213:AI214"/>
    <mergeCell ref="A213:A215"/>
    <mergeCell ref="B213:B215"/>
    <mergeCell ref="D213:D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N213:N214"/>
    <mergeCell ref="O213:O214"/>
    <mergeCell ref="P213:P214"/>
    <mergeCell ref="Q213:Q214"/>
    <mergeCell ref="R213:R214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AF210:AF211"/>
    <mergeCell ref="AG210:AG211"/>
    <mergeCell ref="AH210:AH211"/>
    <mergeCell ref="AI210:AI211"/>
    <mergeCell ref="A210:A212"/>
    <mergeCell ref="B210:B212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Q210:Q211"/>
    <mergeCell ref="R210:R211"/>
    <mergeCell ref="S207:S208"/>
    <mergeCell ref="T207:T208"/>
    <mergeCell ref="U207:U208"/>
    <mergeCell ref="V207:V208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AF207:AF208"/>
    <mergeCell ref="AG207:AG208"/>
    <mergeCell ref="AH207:AH208"/>
    <mergeCell ref="AI207:AI208"/>
    <mergeCell ref="A207:A209"/>
    <mergeCell ref="B207:B209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O207:O208"/>
    <mergeCell ref="P207:P208"/>
    <mergeCell ref="Q207:Q208"/>
    <mergeCell ref="R207:R208"/>
    <mergeCell ref="S204:S205"/>
    <mergeCell ref="T204:T205"/>
    <mergeCell ref="U204:U205"/>
    <mergeCell ref="V204:V205"/>
    <mergeCell ref="W204:W205"/>
    <mergeCell ref="X204:X205"/>
    <mergeCell ref="Y204:Y205"/>
    <mergeCell ref="Z204:Z205"/>
    <mergeCell ref="AA204:AA205"/>
    <mergeCell ref="AB204:AB205"/>
    <mergeCell ref="AC204:AC205"/>
    <mergeCell ref="AD204:AD205"/>
    <mergeCell ref="AE204:AE205"/>
    <mergeCell ref="AF204:AF205"/>
    <mergeCell ref="AG204:AG205"/>
    <mergeCell ref="AH204:AH205"/>
    <mergeCell ref="AI204:AI205"/>
    <mergeCell ref="A204:A206"/>
    <mergeCell ref="B204:B206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Q204:Q205"/>
    <mergeCell ref="R204:R205"/>
    <mergeCell ref="S201:S202"/>
    <mergeCell ref="T201:T202"/>
    <mergeCell ref="U201:U202"/>
    <mergeCell ref="V201:V202"/>
    <mergeCell ref="W201:W202"/>
    <mergeCell ref="X201:X202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AH201:AH202"/>
    <mergeCell ref="AI201:AI202"/>
    <mergeCell ref="A201:A203"/>
    <mergeCell ref="B201:B203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N201:N202"/>
    <mergeCell ref="O201:O202"/>
    <mergeCell ref="P201:P202"/>
    <mergeCell ref="Q201:Q202"/>
    <mergeCell ref="R201:R202"/>
    <mergeCell ref="S198:S199"/>
    <mergeCell ref="T198:T199"/>
    <mergeCell ref="U198:U199"/>
    <mergeCell ref="V198:V199"/>
    <mergeCell ref="W198:W199"/>
    <mergeCell ref="X198:X199"/>
    <mergeCell ref="Y198:Y199"/>
    <mergeCell ref="Z198:Z199"/>
    <mergeCell ref="AA198:AA199"/>
    <mergeCell ref="AB198:AB199"/>
    <mergeCell ref="AC198:AC199"/>
    <mergeCell ref="AD198:AD199"/>
    <mergeCell ref="AE198:AE199"/>
    <mergeCell ref="AF198:AF199"/>
    <mergeCell ref="AG198:AG199"/>
    <mergeCell ref="AH198:AH199"/>
    <mergeCell ref="AI198:AI199"/>
    <mergeCell ref="A198:A200"/>
    <mergeCell ref="B198:B200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5:S196"/>
    <mergeCell ref="T195:T196"/>
    <mergeCell ref="U195:U196"/>
    <mergeCell ref="V195:V196"/>
    <mergeCell ref="W195:W196"/>
    <mergeCell ref="X195:X196"/>
    <mergeCell ref="Y195:Y196"/>
    <mergeCell ref="Z195:Z196"/>
    <mergeCell ref="AA195:AA196"/>
    <mergeCell ref="AB195:AB196"/>
    <mergeCell ref="AC195:AC196"/>
    <mergeCell ref="AD195:AD196"/>
    <mergeCell ref="AE195:AE196"/>
    <mergeCell ref="AF195:AF196"/>
    <mergeCell ref="AG195:AG196"/>
    <mergeCell ref="AH195:AH196"/>
    <mergeCell ref="AI195:AI196"/>
    <mergeCell ref="A195:A197"/>
    <mergeCell ref="B195:B197"/>
    <mergeCell ref="D195:D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P195:P196"/>
    <mergeCell ref="Q195:Q196"/>
    <mergeCell ref="R195:R196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AF192:AF193"/>
    <mergeCell ref="AG192:AG193"/>
    <mergeCell ref="AH192:AH193"/>
    <mergeCell ref="AI192:AI193"/>
    <mergeCell ref="A192:A194"/>
    <mergeCell ref="B192:B194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89:S190"/>
    <mergeCell ref="T189:T190"/>
    <mergeCell ref="U189:U190"/>
    <mergeCell ref="V189:V190"/>
    <mergeCell ref="W189:W190"/>
    <mergeCell ref="X189:X190"/>
    <mergeCell ref="Y189:Y190"/>
    <mergeCell ref="Z189:Z190"/>
    <mergeCell ref="AA189:AA190"/>
    <mergeCell ref="AB189:AB190"/>
    <mergeCell ref="AC189:AC190"/>
    <mergeCell ref="AD189:AD190"/>
    <mergeCell ref="AE189:AE190"/>
    <mergeCell ref="AF189:AF190"/>
    <mergeCell ref="AG189:AG190"/>
    <mergeCell ref="AH189:AH190"/>
    <mergeCell ref="AI189:AI190"/>
    <mergeCell ref="A189:A191"/>
    <mergeCell ref="B189:B191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P189:P190"/>
    <mergeCell ref="Q189:Q190"/>
    <mergeCell ref="R189:R190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F186:AF187"/>
    <mergeCell ref="AG186:AG187"/>
    <mergeCell ref="AH186:AH187"/>
    <mergeCell ref="AI186:AI187"/>
    <mergeCell ref="A186:A188"/>
    <mergeCell ref="B186:B188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B184"/>
    <mergeCell ref="AC183:AC184"/>
    <mergeCell ref="AD183:AD184"/>
    <mergeCell ref="AE183:AE184"/>
    <mergeCell ref="AF183:AF184"/>
    <mergeCell ref="AG183:AG184"/>
    <mergeCell ref="AH183:AH184"/>
    <mergeCell ref="AI183:AI184"/>
    <mergeCell ref="A183:A185"/>
    <mergeCell ref="B183:B185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180:A182"/>
    <mergeCell ref="B180:B182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A177:AA178"/>
    <mergeCell ref="AB177:AB178"/>
    <mergeCell ref="AC177:AC178"/>
    <mergeCell ref="AD177:AD178"/>
    <mergeCell ref="AE177:AE178"/>
    <mergeCell ref="AF177:AF178"/>
    <mergeCell ref="AG177:AG178"/>
    <mergeCell ref="AH177:AH178"/>
    <mergeCell ref="AI177:AI178"/>
    <mergeCell ref="A177:A179"/>
    <mergeCell ref="B177:B179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AH174:AH175"/>
    <mergeCell ref="AI174:AI175"/>
    <mergeCell ref="A174:A176"/>
    <mergeCell ref="B174:B176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AA171:AA172"/>
    <mergeCell ref="AB171:AB172"/>
    <mergeCell ref="AC171:AC172"/>
    <mergeCell ref="AD171:AD172"/>
    <mergeCell ref="AE171:AE172"/>
    <mergeCell ref="AF171:AF172"/>
    <mergeCell ref="AG171:AG172"/>
    <mergeCell ref="AH171:AH172"/>
    <mergeCell ref="AI171:AI172"/>
    <mergeCell ref="A171:A173"/>
    <mergeCell ref="B171:B173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O171:O172"/>
    <mergeCell ref="P171:P172"/>
    <mergeCell ref="Q171:Q172"/>
    <mergeCell ref="R171:R172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168:A170"/>
    <mergeCell ref="B168:B170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AG165:AG166"/>
    <mergeCell ref="AH165:AH166"/>
    <mergeCell ref="AI165:AI166"/>
    <mergeCell ref="A165:A167"/>
    <mergeCell ref="B165:B167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162:A164"/>
    <mergeCell ref="B162:B164"/>
    <mergeCell ref="D162:D163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B160"/>
    <mergeCell ref="AC159:AC160"/>
    <mergeCell ref="AD159:AD160"/>
    <mergeCell ref="AE159:AE160"/>
    <mergeCell ref="AF159:AF160"/>
    <mergeCell ref="AG159:AG160"/>
    <mergeCell ref="AH159:AH160"/>
    <mergeCell ref="AI159:AI160"/>
    <mergeCell ref="A159:A161"/>
    <mergeCell ref="B159:B161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G156:AG157"/>
    <mergeCell ref="AH156:AH157"/>
    <mergeCell ref="AI156:AI157"/>
    <mergeCell ref="A156:A158"/>
    <mergeCell ref="B156:B158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B154"/>
    <mergeCell ref="AC153:AC154"/>
    <mergeCell ref="AD153:AD154"/>
    <mergeCell ref="AE153:AE154"/>
    <mergeCell ref="AF153:AF154"/>
    <mergeCell ref="AG153:AG154"/>
    <mergeCell ref="AH153:AH154"/>
    <mergeCell ref="AI153:AI154"/>
    <mergeCell ref="A153:A155"/>
    <mergeCell ref="B153:B155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150:A152"/>
    <mergeCell ref="B150:B152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AG147:AG148"/>
    <mergeCell ref="AH147:AH148"/>
    <mergeCell ref="AI147:AI148"/>
    <mergeCell ref="A147:A149"/>
    <mergeCell ref="B147:B149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144:A146"/>
    <mergeCell ref="B144:B146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B142"/>
    <mergeCell ref="AC141:AC142"/>
    <mergeCell ref="AD141:AD142"/>
    <mergeCell ref="AE141:AE142"/>
    <mergeCell ref="AF141:AF142"/>
    <mergeCell ref="AG141:AG142"/>
    <mergeCell ref="AH141:AH142"/>
    <mergeCell ref="AI141:AI142"/>
    <mergeCell ref="A141:A143"/>
    <mergeCell ref="B141:B143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P141:P142"/>
    <mergeCell ref="Q141:Q142"/>
    <mergeCell ref="R141:R142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138:A140"/>
    <mergeCell ref="B138:B140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5:S136"/>
    <mergeCell ref="T135:T136"/>
    <mergeCell ref="U135:U136"/>
    <mergeCell ref="V135:V136"/>
    <mergeCell ref="W135:W136"/>
    <mergeCell ref="X135:X136"/>
    <mergeCell ref="Y135:Y136"/>
    <mergeCell ref="Z135:Z136"/>
    <mergeCell ref="AA135:AA136"/>
    <mergeCell ref="AB135:AB136"/>
    <mergeCell ref="AC135:AC136"/>
    <mergeCell ref="AD135:AD136"/>
    <mergeCell ref="AE135:AE136"/>
    <mergeCell ref="AF135:AF136"/>
    <mergeCell ref="AG135:AG136"/>
    <mergeCell ref="AH135:AH136"/>
    <mergeCell ref="AI135:AI136"/>
    <mergeCell ref="A135:A137"/>
    <mergeCell ref="B135:B137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R135:R136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132:A134"/>
    <mergeCell ref="B132:B134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29:S130"/>
    <mergeCell ref="T129:T130"/>
    <mergeCell ref="U129:U130"/>
    <mergeCell ref="V129:V130"/>
    <mergeCell ref="W129:W130"/>
    <mergeCell ref="X129:X130"/>
    <mergeCell ref="Y129:Y130"/>
    <mergeCell ref="Z129:Z130"/>
    <mergeCell ref="AA129:AA130"/>
    <mergeCell ref="AB129:AB130"/>
    <mergeCell ref="AC129:AC130"/>
    <mergeCell ref="AD129:AD130"/>
    <mergeCell ref="AE129:AE130"/>
    <mergeCell ref="AF129:AF130"/>
    <mergeCell ref="AG129:AG130"/>
    <mergeCell ref="AH129:AH130"/>
    <mergeCell ref="AI129:AI130"/>
    <mergeCell ref="A129:A131"/>
    <mergeCell ref="B129:B131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126:A128"/>
    <mergeCell ref="B126:B128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AH123:AH124"/>
    <mergeCell ref="AI123:AI124"/>
    <mergeCell ref="A123:A125"/>
    <mergeCell ref="B123:B125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P123:P124"/>
    <mergeCell ref="Q123:Q124"/>
    <mergeCell ref="R123:R124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120:A122"/>
    <mergeCell ref="B120:B122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AC117:AC118"/>
    <mergeCell ref="AD117:AD118"/>
    <mergeCell ref="AE117:AE118"/>
    <mergeCell ref="AF117:AF118"/>
    <mergeCell ref="AG117:AG118"/>
    <mergeCell ref="AH117:AH118"/>
    <mergeCell ref="AI117:AI118"/>
    <mergeCell ref="A117:A119"/>
    <mergeCell ref="B117:B119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P117:P118"/>
    <mergeCell ref="Q117:Q118"/>
    <mergeCell ref="R117:R118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114:A116"/>
    <mergeCell ref="B114:B116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1:S112"/>
    <mergeCell ref="T111:T112"/>
    <mergeCell ref="U111:U112"/>
    <mergeCell ref="V111:V112"/>
    <mergeCell ref="W111:W112"/>
    <mergeCell ref="X111:X112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AH111:AH112"/>
    <mergeCell ref="AI111:AI112"/>
    <mergeCell ref="A111:A113"/>
    <mergeCell ref="B111:B113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Q111:Q112"/>
    <mergeCell ref="R111:R112"/>
    <mergeCell ref="AF57:AF58"/>
    <mergeCell ref="U51:U52"/>
    <mergeCell ref="AB51:AB52"/>
    <mergeCell ref="AA51:AA52"/>
    <mergeCell ref="AH51:AH52"/>
    <mergeCell ref="X51:X52"/>
    <mergeCell ref="Y51:Y52"/>
    <mergeCell ref="Z51:Z52"/>
    <mergeCell ref="W39:W40"/>
    <mergeCell ref="AI99:AI100"/>
    <mergeCell ref="AI102:AI103"/>
    <mergeCell ref="AI105:AI106"/>
    <mergeCell ref="AI108:AI109"/>
    <mergeCell ref="AI69:AI70"/>
    <mergeCell ref="AI72:AI73"/>
    <mergeCell ref="AI75:AI76"/>
    <mergeCell ref="AI78:AI79"/>
    <mergeCell ref="AI81:AI82"/>
    <mergeCell ref="AI84:AI85"/>
    <mergeCell ref="AI87:AI88"/>
    <mergeCell ref="AI90:AI91"/>
    <mergeCell ref="AI93:AI94"/>
    <mergeCell ref="AC108:AC109"/>
    <mergeCell ref="AD108:AD109"/>
    <mergeCell ref="AE108:AE109"/>
    <mergeCell ref="AF108:AF109"/>
    <mergeCell ref="AG108:AG109"/>
    <mergeCell ref="AH108:AH109"/>
    <mergeCell ref="AC99:AC100"/>
    <mergeCell ref="AD99:AD100"/>
    <mergeCell ref="AE99:AE100"/>
    <mergeCell ref="AF99:AF100"/>
    <mergeCell ref="AG99:AG100"/>
    <mergeCell ref="AH99:AH100"/>
    <mergeCell ref="AC87:AC88"/>
    <mergeCell ref="AD87:AD88"/>
    <mergeCell ref="AE87:AE88"/>
    <mergeCell ref="AF87:AF88"/>
    <mergeCell ref="AG87:AG88"/>
    <mergeCell ref="AH87:AH88"/>
    <mergeCell ref="AC75:AC76"/>
    <mergeCell ref="AI18:AI19"/>
    <mergeCell ref="AI21:AI22"/>
    <mergeCell ref="AI24:AI25"/>
    <mergeCell ref="AI27:AI28"/>
    <mergeCell ref="AI30:AI31"/>
    <mergeCell ref="AI33:AI34"/>
    <mergeCell ref="AI36:AI37"/>
    <mergeCell ref="AI39:AI40"/>
    <mergeCell ref="AI42:AI43"/>
    <mergeCell ref="AI45:AI46"/>
    <mergeCell ref="AI48:AI49"/>
    <mergeCell ref="AI51:AI52"/>
    <mergeCell ref="AI54:AI55"/>
    <mergeCell ref="AI57:AI58"/>
    <mergeCell ref="AI60:AI61"/>
    <mergeCell ref="AI63:AI64"/>
    <mergeCell ref="AI96:AI97"/>
    <mergeCell ref="AI66:AI67"/>
    <mergeCell ref="AD75:AD76"/>
    <mergeCell ref="AE75:AE76"/>
    <mergeCell ref="AF75:AF76"/>
    <mergeCell ref="AG75:AG76"/>
    <mergeCell ref="AH75:AH76"/>
    <mergeCell ref="Y108:Y109"/>
    <mergeCell ref="Z108:Z109"/>
    <mergeCell ref="AA108:AA109"/>
    <mergeCell ref="AB108:AB109"/>
    <mergeCell ref="AC105:AC106"/>
    <mergeCell ref="AD105:AD106"/>
    <mergeCell ref="AE105:AE106"/>
    <mergeCell ref="AF105:AF106"/>
    <mergeCell ref="AG105:AG106"/>
    <mergeCell ref="AH105:AH106"/>
    <mergeCell ref="A108:A110"/>
    <mergeCell ref="B108:B110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5:T106"/>
    <mergeCell ref="U105:U106"/>
    <mergeCell ref="V105:V106"/>
    <mergeCell ref="W105:W106"/>
    <mergeCell ref="Y105:Y106"/>
    <mergeCell ref="Z105:Z106"/>
    <mergeCell ref="AA105:AA106"/>
    <mergeCell ref="AB105:AB106"/>
    <mergeCell ref="AC102:AC103"/>
    <mergeCell ref="AD102:AD103"/>
    <mergeCell ref="AE102:AE103"/>
    <mergeCell ref="AF102:AF103"/>
    <mergeCell ref="AG102:AG103"/>
    <mergeCell ref="AH102:AH103"/>
    <mergeCell ref="S105:S106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S102:S103"/>
    <mergeCell ref="T108:T109"/>
    <mergeCell ref="U108:U109"/>
    <mergeCell ref="V108:V109"/>
    <mergeCell ref="W108:W109"/>
    <mergeCell ref="X108:X109"/>
    <mergeCell ref="A105:A107"/>
    <mergeCell ref="B105:B107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X105:X106"/>
    <mergeCell ref="A102:A104"/>
    <mergeCell ref="B102:B104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AC96:AC97"/>
    <mergeCell ref="AD96:AD97"/>
    <mergeCell ref="AE96:AE97"/>
    <mergeCell ref="AF96:AF97"/>
    <mergeCell ref="AG96:AG97"/>
    <mergeCell ref="AH96:AH97"/>
    <mergeCell ref="A99:A101"/>
    <mergeCell ref="B99:B101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Q99:Q100"/>
    <mergeCell ref="R99:R100"/>
    <mergeCell ref="S99:S100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3:AC94"/>
    <mergeCell ref="AD93:AD94"/>
    <mergeCell ref="AE93:AE94"/>
    <mergeCell ref="AF93:AF94"/>
    <mergeCell ref="AG93:AG94"/>
    <mergeCell ref="AH93:AH94"/>
    <mergeCell ref="A96:A98"/>
    <mergeCell ref="B96:B98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3:T94"/>
    <mergeCell ref="U93:U94"/>
    <mergeCell ref="V93:V94"/>
    <mergeCell ref="W93:W94"/>
    <mergeCell ref="X93:X94"/>
    <mergeCell ref="Y93:Y94"/>
    <mergeCell ref="Z93:Z94"/>
    <mergeCell ref="AA93:AA94"/>
    <mergeCell ref="AB93:AB94"/>
    <mergeCell ref="AC90:AC91"/>
    <mergeCell ref="AD90:AD91"/>
    <mergeCell ref="AE90:AE91"/>
    <mergeCell ref="AF90:AF91"/>
    <mergeCell ref="AG90:AG91"/>
    <mergeCell ref="AH90:AH91"/>
    <mergeCell ref="S93:S94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S90:S91"/>
    <mergeCell ref="A93:A95"/>
    <mergeCell ref="B93:B95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R93:R94"/>
    <mergeCell ref="A90:A92"/>
    <mergeCell ref="B90:B92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B88"/>
    <mergeCell ref="AC84:AC85"/>
    <mergeCell ref="AD84:AD85"/>
    <mergeCell ref="AE84:AE85"/>
    <mergeCell ref="AF84:AF85"/>
    <mergeCell ref="AG84:AG85"/>
    <mergeCell ref="AH84:AH85"/>
    <mergeCell ref="A87:A89"/>
    <mergeCell ref="B87:B89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R87:R88"/>
    <mergeCell ref="S87:S88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1:AC82"/>
    <mergeCell ref="AD81:AD82"/>
    <mergeCell ref="AE81:AE82"/>
    <mergeCell ref="AF81:AF82"/>
    <mergeCell ref="AG81:AG82"/>
    <mergeCell ref="AH81:AH82"/>
    <mergeCell ref="A84:A86"/>
    <mergeCell ref="B84:B86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78:AC79"/>
    <mergeCell ref="AD78:AD79"/>
    <mergeCell ref="AE78:AE79"/>
    <mergeCell ref="AF78:AF79"/>
    <mergeCell ref="AG78:AG79"/>
    <mergeCell ref="AH78:AH79"/>
    <mergeCell ref="S81:S82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S78:S79"/>
    <mergeCell ref="A81:A83"/>
    <mergeCell ref="B81:B83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A78:A80"/>
    <mergeCell ref="B78:B80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T75:T76"/>
    <mergeCell ref="U75:U76"/>
    <mergeCell ref="V75:V76"/>
    <mergeCell ref="W75:W76"/>
    <mergeCell ref="X75:X76"/>
    <mergeCell ref="Y75:Y76"/>
    <mergeCell ref="Z75:Z76"/>
    <mergeCell ref="AA75:AA76"/>
    <mergeCell ref="AB75:AB76"/>
    <mergeCell ref="AC72:AC73"/>
    <mergeCell ref="AD72:AD73"/>
    <mergeCell ref="AE72:AE73"/>
    <mergeCell ref="AF72:AF73"/>
    <mergeCell ref="AG72:AG73"/>
    <mergeCell ref="AH72:AH73"/>
    <mergeCell ref="A75:A77"/>
    <mergeCell ref="B75:B77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S75:S76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69:AC70"/>
    <mergeCell ref="AD69:AD70"/>
    <mergeCell ref="AE69:AE70"/>
    <mergeCell ref="AF69:AF70"/>
    <mergeCell ref="AG69:AG70"/>
    <mergeCell ref="AH69:AH70"/>
    <mergeCell ref="A72:A74"/>
    <mergeCell ref="B72:B74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69:T70"/>
    <mergeCell ref="U69:U70"/>
    <mergeCell ref="V69:V70"/>
    <mergeCell ref="W69:W70"/>
    <mergeCell ref="X69:X70"/>
    <mergeCell ref="Y69:Y70"/>
    <mergeCell ref="Z69:Z70"/>
    <mergeCell ref="AA69:AA70"/>
    <mergeCell ref="AB69:AB70"/>
    <mergeCell ref="K69:K70"/>
    <mergeCell ref="L69:L70"/>
    <mergeCell ref="M69:M70"/>
    <mergeCell ref="N69:N70"/>
    <mergeCell ref="O69:O70"/>
    <mergeCell ref="P69:P70"/>
    <mergeCell ref="Q69:Q70"/>
    <mergeCell ref="R69:R70"/>
    <mergeCell ref="S69:S70"/>
    <mergeCell ref="A69:A71"/>
    <mergeCell ref="B69:B71"/>
    <mergeCell ref="D69:D70"/>
    <mergeCell ref="E69:E70"/>
    <mergeCell ref="F69:F70"/>
    <mergeCell ref="G69:G70"/>
    <mergeCell ref="H69:H70"/>
    <mergeCell ref="I69:I70"/>
    <mergeCell ref="J69:J70"/>
    <mergeCell ref="AF66:AF67"/>
    <mergeCell ref="AG66:AG67"/>
    <mergeCell ref="AH66:AH67"/>
    <mergeCell ref="AB57:AB58"/>
    <mergeCell ref="AC57:AC58"/>
    <mergeCell ref="AD57:AD58"/>
    <mergeCell ref="AE57:AE58"/>
    <mergeCell ref="A66:A68"/>
    <mergeCell ref="B66:B68"/>
    <mergeCell ref="AF63:AF64"/>
    <mergeCell ref="AG63:AG64"/>
    <mergeCell ref="AH63:AH64"/>
    <mergeCell ref="W63:W64"/>
    <mergeCell ref="X63:X64"/>
    <mergeCell ref="Y63:Y64"/>
    <mergeCell ref="AA60:AA61"/>
    <mergeCell ref="AB60:AB61"/>
    <mergeCell ref="AC60:AC61"/>
    <mergeCell ref="AD60:AD61"/>
    <mergeCell ref="AE60:AE61"/>
    <mergeCell ref="AF60:AF61"/>
    <mergeCell ref="AG60:AG61"/>
    <mergeCell ref="X60:X61"/>
    <mergeCell ref="Y60:Y61"/>
    <mergeCell ref="Z60:Z61"/>
    <mergeCell ref="Z63:Z64"/>
    <mergeCell ref="AA63:AA64"/>
    <mergeCell ref="AB63:AB64"/>
    <mergeCell ref="AC63:AC64"/>
    <mergeCell ref="AD63:AD64"/>
    <mergeCell ref="AE63:AE64"/>
    <mergeCell ref="A63:A65"/>
    <mergeCell ref="B63:B65"/>
    <mergeCell ref="R60:R61"/>
    <mergeCell ref="S60:S61"/>
    <mergeCell ref="T60:T61"/>
    <mergeCell ref="U60:U61"/>
    <mergeCell ref="V60:V61"/>
    <mergeCell ref="W60:W61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L60:L61"/>
    <mergeCell ref="M60:M61"/>
    <mergeCell ref="N60:N61"/>
    <mergeCell ref="R30:R31"/>
    <mergeCell ref="S30:S31"/>
    <mergeCell ref="T30:T31"/>
    <mergeCell ref="Y33:Y34"/>
    <mergeCell ref="Z33:Z34"/>
    <mergeCell ref="AA33:AA34"/>
    <mergeCell ref="S33:S34"/>
    <mergeCell ref="T33:T34"/>
    <mergeCell ref="U33:U34"/>
    <mergeCell ref="V33:V34"/>
    <mergeCell ref="W33:W34"/>
    <mergeCell ref="O9:O10"/>
    <mergeCell ref="O60:O61"/>
    <mergeCell ref="X39:X40"/>
    <mergeCell ref="Y39:Y40"/>
    <mergeCell ref="AG57:AG58"/>
    <mergeCell ref="AH57:AH58"/>
    <mergeCell ref="P60:P61"/>
    <mergeCell ref="Q60:Q61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AH60:AH61"/>
    <mergeCell ref="A5:R5"/>
    <mergeCell ref="S5:AH5"/>
    <mergeCell ref="F24:F25"/>
    <mergeCell ref="T27:T28"/>
    <mergeCell ref="I27:I28"/>
    <mergeCell ref="J27:J28"/>
    <mergeCell ref="K27:K28"/>
    <mergeCell ref="L27:L28"/>
    <mergeCell ref="S27:S28"/>
    <mergeCell ref="Q27:Q28"/>
    <mergeCell ref="R27:R28"/>
    <mergeCell ref="J24:J25"/>
    <mergeCell ref="K24:K25"/>
    <mergeCell ref="L24:L25"/>
    <mergeCell ref="W27:W28"/>
    <mergeCell ref="O24:O25"/>
    <mergeCell ref="R24:R25"/>
    <mergeCell ref="V27:V28"/>
    <mergeCell ref="AE24:AE25"/>
    <mergeCell ref="AH9:AH10"/>
    <mergeCell ref="AF9:AF10"/>
    <mergeCell ref="P9:P10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Z12:Z13"/>
    <mergeCell ref="AA12:AA13"/>
    <mergeCell ref="AB12:AB13"/>
    <mergeCell ref="AC12:AC13"/>
    <mergeCell ref="AD12:AD13"/>
    <mergeCell ref="AE12:AE13"/>
    <mergeCell ref="T12:T13"/>
    <mergeCell ref="U12:U13"/>
    <mergeCell ref="V12:V13"/>
    <mergeCell ref="W12:W13"/>
    <mergeCell ref="X12:X13"/>
    <mergeCell ref="Y12:Y13"/>
    <mergeCell ref="J9:J10"/>
    <mergeCell ref="I9:I10"/>
    <mergeCell ref="H9:H10"/>
    <mergeCell ref="G9:G10"/>
    <mergeCell ref="F9:F10"/>
    <mergeCell ref="E9:E10"/>
    <mergeCell ref="P15:P16"/>
    <mergeCell ref="U18:U19"/>
    <mergeCell ref="V18:V19"/>
    <mergeCell ref="W18:W19"/>
    <mergeCell ref="AI9:AI10"/>
    <mergeCell ref="W9:W10"/>
    <mergeCell ref="X9:X10"/>
    <mergeCell ref="Y9:Y10"/>
    <mergeCell ref="Z9:Z10"/>
    <mergeCell ref="AA9:AA10"/>
    <mergeCell ref="AB9:AB10"/>
    <mergeCell ref="AI12:AI13"/>
    <mergeCell ref="AH12:AH13"/>
    <mergeCell ref="AI15:AI16"/>
    <mergeCell ref="S15:S16"/>
    <mergeCell ref="AA15:AA16"/>
    <mergeCell ref="AB15:AB16"/>
    <mergeCell ref="AC15:AC16"/>
    <mergeCell ref="AD15:AD16"/>
    <mergeCell ref="AE15:AE16"/>
    <mergeCell ref="T15:T16"/>
    <mergeCell ref="U15:U16"/>
    <mergeCell ref="X15:X16"/>
    <mergeCell ref="Y15:Y16"/>
    <mergeCell ref="Z15:Z16"/>
    <mergeCell ref="AH15:AH16"/>
    <mergeCell ref="AG12:AG13"/>
    <mergeCell ref="AG15:AG16"/>
    <mergeCell ref="AE9:AE10"/>
    <mergeCell ref="AD9:AD10"/>
    <mergeCell ref="AC9:AC10"/>
    <mergeCell ref="AG9:AG10"/>
    <mergeCell ref="N15:N16"/>
    <mergeCell ref="O15:O16"/>
    <mergeCell ref="Q15:Q16"/>
    <mergeCell ref="R15:R16"/>
    <mergeCell ref="S12:S13"/>
    <mergeCell ref="A15:A17"/>
    <mergeCell ref="B15:B17"/>
    <mergeCell ref="D15:D16"/>
    <mergeCell ref="E15:E16"/>
    <mergeCell ref="F15:F16"/>
    <mergeCell ref="G15:G16"/>
    <mergeCell ref="AF18:AF19"/>
    <mergeCell ref="X18:X19"/>
    <mergeCell ref="Y18:Y19"/>
    <mergeCell ref="Z18:Z19"/>
    <mergeCell ref="Y21:Y22"/>
    <mergeCell ref="Z21:Z22"/>
    <mergeCell ref="AA21:AA22"/>
    <mergeCell ref="AB21:AB22"/>
    <mergeCell ref="AC21:AC22"/>
    <mergeCell ref="AD21:AD22"/>
    <mergeCell ref="AA18:AA19"/>
    <mergeCell ref="AB18:AB19"/>
    <mergeCell ref="AC18:AC19"/>
    <mergeCell ref="AD18:AD19"/>
    <mergeCell ref="AF15:AF16"/>
    <mergeCell ref="J21:J22"/>
    <mergeCell ref="K21:K22"/>
    <mergeCell ref="L21:L22"/>
    <mergeCell ref="M21:M22"/>
    <mergeCell ref="N21:N22"/>
    <mergeCell ref="O21:O22"/>
    <mergeCell ref="A24:A26"/>
    <mergeCell ref="B24:B26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O18:O19"/>
    <mergeCell ref="P18:P19"/>
    <mergeCell ref="P24:P25"/>
    <mergeCell ref="Q24:Q25"/>
    <mergeCell ref="G24:G25"/>
    <mergeCell ref="H24:H25"/>
    <mergeCell ref="I24:I25"/>
    <mergeCell ref="A18:A20"/>
    <mergeCell ref="B18:B20"/>
    <mergeCell ref="D18:D19"/>
    <mergeCell ref="E18:E19"/>
    <mergeCell ref="F18:F19"/>
    <mergeCell ref="G18:G19"/>
    <mergeCell ref="H18:H19"/>
    <mergeCell ref="A21:A23"/>
    <mergeCell ref="B21:B23"/>
    <mergeCell ref="D21:D22"/>
    <mergeCell ref="E21:E22"/>
    <mergeCell ref="F21:F22"/>
    <mergeCell ref="G21:G22"/>
    <mergeCell ref="S21:S22"/>
    <mergeCell ref="T21:T22"/>
    <mergeCell ref="I21:I22"/>
    <mergeCell ref="H21:H22"/>
    <mergeCell ref="M27:M28"/>
    <mergeCell ref="N27:N28"/>
    <mergeCell ref="O27:O28"/>
    <mergeCell ref="P27:P28"/>
    <mergeCell ref="AF24:AF25"/>
    <mergeCell ref="Y24:Y25"/>
    <mergeCell ref="Z24:Z25"/>
    <mergeCell ref="AA24:AA25"/>
    <mergeCell ref="AB24:AB25"/>
    <mergeCell ref="AC24:AC25"/>
    <mergeCell ref="AD24:AD25"/>
    <mergeCell ref="S24:S25"/>
    <mergeCell ref="T24:T25"/>
    <mergeCell ref="U24:U25"/>
    <mergeCell ref="V24:V25"/>
    <mergeCell ref="W24:W25"/>
    <mergeCell ref="X24:X25"/>
    <mergeCell ref="AD27:AD28"/>
    <mergeCell ref="AE27:AE28"/>
    <mergeCell ref="AF27:AF28"/>
    <mergeCell ref="U27:U28"/>
    <mergeCell ref="A27:A29"/>
    <mergeCell ref="B27:B29"/>
    <mergeCell ref="D27:D28"/>
    <mergeCell ref="E27:E28"/>
    <mergeCell ref="F27:F28"/>
    <mergeCell ref="G27:G28"/>
    <mergeCell ref="H27:H28"/>
    <mergeCell ref="K30:K31"/>
    <mergeCell ref="H30:H31"/>
    <mergeCell ref="I30:I31"/>
    <mergeCell ref="X27:X28"/>
    <mergeCell ref="Y27:Y28"/>
    <mergeCell ref="Z27:Z28"/>
    <mergeCell ref="AA27:AA28"/>
    <mergeCell ref="AB27:AB28"/>
    <mergeCell ref="AC27:AC28"/>
    <mergeCell ref="A33:A35"/>
    <mergeCell ref="B33:B35"/>
    <mergeCell ref="O33:O34"/>
    <mergeCell ref="P33:P34"/>
    <mergeCell ref="Q33:Q34"/>
    <mergeCell ref="P30:P31"/>
    <mergeCell ref="Q30:Q31"/>
    <mergeCell ref="J30:J31"/>
    <mergeCell ref="L30:L31"/>
    <mergeCell ref="M30:M31"/>
    <mergeCell ref="A30:A32"/>
    <mergeCell ref="B30:B32"/>
    <mergeCell ref="D30:D31"/>
    <mergeCell ref="E30:E31"/>
    <mergeCell ref="F30:F31"/>
    <mergeCell ref="G30:G31"/>
    <mergeCell ref="AD33:AD34"/>
    <mergeCell ref="AE30:AE31"/>
    <mergeCell ref="U21:U22"/>
    <mergeCell ref="AE21:AE22"/>
    <mergeCell ref="V21:V22"/>
    <mergeCell ref="W21:W22"/>
    <mergeCell ref="AE18:AE19"/>
    <mergeCell ref="AG18:AG19"/>
    <mergeCell ref="D36:D37"/>
    <mergeCell ref="R33:R34"/>
    <mergeCell ref="E36:E37"/>
    <mergeCell ref="F36:F37"/>
    <mergeCell ref="G33:G34"/>
    <mergeCell ref="H33:H34"/>
    <mergeCell ref="I33:I34"/>
    <mergeCell ref="D33:D34"/>
    <mergeCell ref="E33:E34"/>
    <mergeCell ref="F33:F34"/>
    <mergeCell ref="J33:J34"/>
    <mergeCell ref="K33:K34"/>
    <mergeCell ref="L33:L34"/>
    <mergeCell ref="M33:M34"/>
    <mergeCell ref="N33:N34"/>
    <mergeCell ref="N30:N31"/>
    <mergeCell ref="O30:O31"/>
    <mergeCell ref="D24:D25"/>
    <mergeCell ref="E24:E25"/>
    <mergeCell ref="M24:M25"/>
    <mergeCell ref="N24:N25"/>
    <mergeCell ref="P21:P22"/>
    <mergeCell ref="Q21:Q22"/>
    <mergeCell ref="R21:R22"/>
    <mergeCell ref="B36:B38"/>
    <mergeCell ref="G36:G37"/>
    <mergeCell ref="H36:H37"/>
    <mergeCell ref="I36:I37"/>
    <mergeCell ref="D39:D40"/>
    <mergeCell ref="E39:E40"/>
    <mergeCell ref="F39:F40"/>
    <mergeCell ref="G39:G40"/>
    <mergeCell ref="AH18:AH19"/>
    <mergeCell ref="AH21:AH22"/>
    <mergeCell ref="AH24:AH25"/>
    <mergeCell ref="AH27:AH28"/>
    <mergeCell ref="AH30:AH31"/>
    <mergeCell ref="AH33:AH34"/>
    <mergeCell ref="U30:U31"/>
    <mergeCell ref="AE33:AE34"/>
    <mergeCell ref="AF33:AF34"/>
    <mergeCell ref="X33:X34"/>
    <mergeCell ref="AF30:AF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F21:AF22"/>
    <mergeCell ref="X21:X22"/>
    <mergeCell ref="AB33:AB34"/>
    <mergeCell ref="AC33:AC34"/>
    <mergeCell ref="O42:O43"/>
    <mergeCell ref="D45:D46"/>
    <mergeCell ref="E45:E46"/>
    <mergeCell ref="F45:F46"/>
    <mergeCell ref="A42:A44"/>
    <mergeCell ref="B42:B44"/>
    <mergeCell ref="T45:T46"/>
    <mergeCell ref="U45:U46"/>
    <mergeCell ref="Z39:Z40"/>
    <mergeCell ref="AA39:AA40"/>
    <mergeCell ref="A39:A41"/>
    <mergeCell ref="B39:B41"/>
    <mergeCell ref="J36:J37"/>
    <mergeCell ref="K36:K37"/>
    <mergeCell ref="L36:L37"/>
    <mergeCell ref="M36:M37"/>
    <mergeCell ref="N36:N37"/>
    <mergeCell ref="O36:O37"/>
    <mergeCell ref="S36:S37"/>
    <mergeCell ref="T36:T37"/>
    <mergeCell ref="P36:P37"/>
    <mergeCell ref="Q36:Q37"/>
    <mergeCell ref="R36:R37"/>
    <mergeCell ref="W36:W37"/>
    <mergeCell ref="X36:X37"/>
    <mergeCell ref="Y36:Y37"/>
    <mergeCell ref="Z36:Z37"/>
    <mergeCell ref="AA36:AA37"/>
    <mergeCell ref="U36:U37"/>
    <mergeCell ref="V36:V37"/>
    <mergeCell ref="V39:V40"/>
    <mergeCell ref="A36:A38"/>
    <mergeCell ref="X45:X46"/>
    <mergeCell ref="Y45:Y46"/>
    <mergeCell ref="Z45:Z46"/>
    <mergeCell ref="AA45:AA46"/>
    <mergeCell ref="AC51:AC52"/>
    <mergeCell ref="AD51:AD52"/>
    <mergeCell ref="V48:V49"/>
    <mergeCell ref="W48:W49"/>
    <mergeCell ref="S51:S52"/>
    <mergeCell ref="T51:T52"/>
    <mergeCell ref="S45:S46"/>
    <mergeCell ref="T39:T40"/>
    <mergeCell ref="U39:U40"/>
    <mergeCell ref="A45:A47"/>
    <mergeCell ref="B45:B47"/>
    <mergeCell ref="P45:P46"/>
    <mergeCell ref="Q45:Q46"/>
    <mergeCell ref="R45:R46"/>
    <mergeCell ref="S42:S43"/>
    <mergeCell ref="T42:T43"/>
    <mergeCell ref="U42:U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K48:K49"/>
    <mergeCell ref="L48:L49"/>
    <mergeCell ref="M48:M49"/>
    <mergeCell ref="N48:N49"/>
    <mergeCell ref="A51:A53"/>
    <mergeCell ref="B51:B53"/>
    <mergeCell ref="K51:K52"/>
    <mergeCell ref="L51:L52"/>
    <mergeCell ref="M51:M52"/>
    <mergeCell ref="N51:N52"/>
    <mergeCell ref="S48:S49"/>
    <mergeCell ref="T48:T49"/>
    <mergeCell ref="H48:H49"/>
    <mergeCell ref="I48:I49"/>
    <mergeCell ref="J48:J49"/>
    <mergeCell ref="D51:D52"/>
    <mergeCell ref="E51:E52"/>
    <mergeCell ref="F51:F52"/>
    <mergeCell ref="G51:G52"/>
    <mergeCell ref="H51:H52"/>
    <mergeCell ref="I51:I52"/>
    <mergeCell ref="J51:J52"/>
    <mergeCell ref="O48:O49"/>
    <mergeCell ref="P48:P49"/>
    <mergeCell ref="Q48:Q49"/>
    <mergeCell ref="R48:R49"/>
    <mergeCell ref="O51:O52"/>
    <mergeCell ref="P51:P52"/>
    <mergeCell ref="Q51:Q52"/>
    <mergeCell ref="R51:R52"/>
    <mergeCell ref="AG21:AG22"/>
    <mergeCell ref="AG24:AG25"/>
    <mergeCell ref="AG27:AG28"/>
    <mergeCell ref="AG30:AG31"/>
    <mergeCell ref="AG33:AG34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M39:M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P42:P43"/>
    <mergeCell ref="Q42:Q43"/>
    <mergeCell ref="R42:R43"/>
    <mergeCell ref="V45:V46"/>
    <mergeCell ref="W45:W46"/>
    <mergeCell ref="AB42:AB43"/>
    <mergeCell ref="U48:U49"/>
    <mergeCell ref="AH39:AH40"/>
    <mergeCell ref="AH42:AH43"/>
    <mergeCell ref="AH36:AH37"/>
    <mergeCell ref="AF42:AF43"/>
    <mergeCell ref="AF45:AF46"/>
    <mergeCell ref="AD36:AD37"/>
    <mergeCell ref="AB36:AB37"/>
    <mergeCell ref="AC36:AC37"/>
    <mergeCell ref="AE36:AE37"/>
    <mergeCell ref="AF36:AF37"/>
    <mergeCell ref="AG36:AG37"/>
    <mergeCell ref="AB39:AB40"/>
    <mergeCell ref="AC39:AC40"/>
    <mergeCell ref="AD39:AD40"/>
    <mergeCell ref="AE39:AE40"/>
    <mergeCell ref="AF39:AF40"/>
    <mergeCell ref="AG39:AG40"/>
    <mergeCell ref="AG42:AG43"/>
    <mergeCell ref="AC42:AC43"/>
    <mergeCell ref="AD42:AD43"/>
    <mergeCell ref="AE42:AE43"/>
    <mergeCell ref="AB45:AB46"/>
    <mergeCell ref="AC45:AC46"/>
    <mergeCell ref="AD45:AD46"/>
    <mergeCell ref="AE45:AE46"/>
    <mergeCell ref="V42:V43"/>
    <mergeCell ref="W42:W43"/>
    <mergeCell ref="X42:X43"/>
    <mergeCell ref="Y42:Y43"/>
    <mergeCell ref="Z42:Z43"/>
    <mergeCell ref="AA42:AA43"/>
    <mergeCell ref="P54:P55"/>
    <mergeCell ref="Q54:Q55"/>
    <mergeCell ref="R54:R55"/>
    <mergeCell ref="V51:V52"/>
    <mergeCell ref="W51:W52"/>
    <mergeCell ref="W54:W55"/>
    <mergeCell ref="S54:S55"/>
    <mergeCell ref="T54:T55"/>
    <mergeCell ref="U54:U55"/>
    <mergeCell ref="V54:V55"/>
    <mergeCell ref="AE51:AE52"/>
    <mergeCell ref="AF51:AF52"/>
    <mergeCell ref="AH48:AH49"/>
    <mergeCell ref="AG45:AG46"/>
    <mergeCell ref="AH45:AH46"/>
    <mergeCell ref="A48:A50"/>
    <mergeCell ref="B48:B50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G51:AG52"/>
    <mergeCell ref="D48:D49"/>
    <mergeCell ref="E48:E49"/>
    <mergeCell ref="F48:F49"/>
    <mergeCell ref="G48:G49"/>
    <mergeCell ref="A54:A56"/>
    <mergeCell ref="B54:B56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J60:J61"/>
    <mergeCell ref="A60:A62"/>
    <mergeCell ref="B60:B62"/>
    <mergeCell ref="A57:A59"/>
    <mergeCell ref="B57:B59"/>
    <mergeCell ref="N57:N58"/>
    <mergeCell ref="O57:O58"/>
    <mergeCell ref="D60:D61"/>
    <mergeCell ref="E60:E61"/>
    <mergeCell ref="F60:F61"/>
    <mergeCell ref="G60:G61"/>
    <mergeCell ref="H60:H61"/>
    <mergeCell ref="I60:I61"/>
    <mergeCell ref="J57:J58"/>
    <mergeCell ref="K57:K58"/>
    <mergeCell ref="H57:H58"/>
    <mergeCell ref="L57:L58"/>
    <mergeCell ref="D57:D58"/>
    <mergeCell ref="E57:E58"/>
    <mergeCell ref="Q63:Q64"/>
    <mergeCell ref="R63:R64"/>
    <mergeCell ref="S63:S64"/>
    <mergeCell ref="T63:T64"/>
    <mergeCell ref="U63:U64"/>
    <mergeCell ref="V63:V64"/>
    <mergeCell ref="S66:S67"/>
    <mergeCell ref="R66:R67"/>
    <mergeCell ref="Q66:Q67"/>
    <mergeCell ref="P66:P67"/>
    <mergeCell ref="O66:O67"/>
    <mergeCell ref="K60:K61"/>
    <mergeCell ref="M57:M58"/>
    <mergeCell ref="N66:N67"/>
    <mergeCell ref="M66:M67"/>
    <mergeCell ref="L66:L67"/>
    <mergeCell ref="K66:K67"/>
    <mergeCell ref="G66:G67"/>
    <mergeCell ref="H15:H16"/>
    <mergeCell ref="I15:I16"/>
    <mergeCell ref="I66:I67"/>
    <mergeCell ref="H66:H67"/>
    <mergeCell ref="L15:L16"/>
    <mergeCell ref="J66:J67"/>
    <mergeCell ref="F66:F67"/>
    <mergeCell ref="E66:E67"/>
    <mergeCell ref="D66:D67"/>
    <mergeCell ref="AB54:AB55"/>
    <mergeCell ref="AA54:AA55"/>
    <mergeCell ref="Z54:Z55"/>
    <mergeCell ref="Y54:Y55"/>
    <mergeCell ref="X54:X55"/>
    <mergeCell ref="AH54:AH55"/>
    <mergeCell ref="AG54:AG55"/>
    <mergeCell ref="AF54:AF55"/>
    <mergeCell ref="AE54:AE55"/>
    <mergeCell ref="AD54:AD55"/>
    <mergeCell ref="AC54:AC55"/>
    <mergeCell ref="AC66:AC67"/>
    <mergeCell ref="AD66:AD67"/>
    <mergeCell ref="AE66:AE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J15:J16"/>
    <mergeCell ref="K15:K16"/>
    <mergeCell ref="F57:F58"/>
    <mergeCell ref="G57:G58"/>
    <mergeCell ref="M15:M16"/>
    <mergeCell ref="I57:I58"/>
    <mergeCell ref="D9:D10"/>
    <mergeCell ref="B12:B14"/>
    <mergeCell ref="A12:A14"/>
    <mergeCell ref="B9:B11"/>
    <mergeCell ref="A9:A11"/>
    <mergeCell ref="C7:C8"/>
    <mergeCell ref="W15:W16"/>
    <mergeCell ref="V15:V16"/>
    <mergeCell ref="N9:N10"/>
    <mergeCell ref="M9:M10"/>
    <mergeCell ref="L9:L10"/>
    <mergeCell ref="K9:K10"/>
    <mergeCell ref="V9:V10"/>
    <mergeCell ref="U9:U10"/>
    <mergeCell ref="T9:T10"/>
    <mergeCell ref="S9:S10"/>
    <mergeCell ref="R9:R10"/>
    <mergeCell ref="Q9:Q10"/>
    <mergeCell ref="D7:AH7"/>
    <mergeCell ref="D12:D13"/>
    <mergeCell ref="AF12:AF13"/>
    <mergeCell ref="N12:N13"/>
    <mergeCell ref="O12:O13"/>
    <mergeCell ref="P12:P13"/>
    <mergeCell ref="Q12:Q13"/>
    <mergeCell ref="R12:R13"/>
  </mergeCells>
  <phoneticPr fontId="8" type="noConversion"/>
  <pageMargins left="0.7" right="0.7" top="0.75" bottom="0.75" header="0.3" footer="0.3"/>
  <pageSetup paperSize="9" scale="35" orientation="landscape" horizontalDpi="0" verticalDpi="0" copies="2"/>
  <colBreaks count="1" manualBreakCount="1">
    <brk id="53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VB ROM</vt:lpstr>
      <vt:lpstr>'VB ROM'!Print_Area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Raul Tarnaru</cp:lastModifiedBy>
  <cp:lastPrinted>2025-02-03T08:31:39Z</cp:lastPrinted>
  <dcterms:created xsi:type="dcterms:W3CDTF">2021-04-27T08:55:34Z</dcterms:created>
  <dcterms:modified xsi:type="dcterms:W3CDTF">2026-03-02T08:44:20Z</dcterms:modified>
</cp:coreProperties>
</file>