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xux/Downloads/"/>
    </mc:Choice>
  </mc:AlternateContent>
  <xr:revisionPtr revIDLastSave="0" documentId="8_{357B22EA-FC88-EA45-9361-BAFC8F963080}" xr6:coauthVersionLast="47" xr6:coauthVersionMax="47" xr10:uidLastSave="{00000000-0000-0000-0000-000000000000}"/>
  <bookViews>
    <workbookView xWindow="0" yWindow="600" windowWidth="40960" windowHeight="20440" tabRatio="500" xr2:uid="{00000000-000D-0000-FFFF-FFFF00000000}"/>
  </bookViews>
  <sheets>
    <sheet name="VB-ROM" sheetId="33" r:id="rId1"/>
    <sheet name="XMEG" sheetId="34" r:id="rId2"/>
  </sheets>
  <definedNames>
    <definedName name="_xlnm.Print_Area" localSheetId="0">'VB-ROM'!$B:$Q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5" i="33" l="1"/>
  <c r="J5" i="34"/>
  <c r="G5" i="34"/>
  <c r="J4" i="34"/>
  <c r="G4" i="34"/>
  <c r="J3" i="34"/>
  <c r="G3" i="34"/>
  <c r="I118" i="33" l="1"/>
  <c r="I14" i="33"/>
  <c r="I117" i="33"/>
  <c r="I116" i="33"/>
  <c r="I115" i="33"/>
  <c r="H114" i="33"/>
  <c r="I113" i="33"/>
  <c r="I112" i="33"/>
  <c r="I111" i="33"/>
  <c r="I110" i="33"/>
  <c r="I109" i="33"/>
  <c r="I108" i="33"/>
  <c r="I107" i="33"/>
  <c r="I106" i="33"/>
  <c r="H105" i="33"/>
  <c r="I104" i="33"/>
  <c r="H103" i="33"/>
  <c r="I102" i="33"/>
  <c r="I101" i="33"/>
  <c r="I100" i="33"/>
  <c r="I99" i="33"/>
  <c r="I98" i="33"/>
  <c r="I97" i="33"/>
  <c r="I96" i="33"/>
  <c r="I95" i="33"/>
  <c r="I94" i="33"/>
  <c r="I93" i="33"/>
  <c r="I92" i="33"/>
  <c r="I91" i="33"/>
  <c r="I90" i="33"/>
  <c r="I89" i="33"/>
  <c r="I88" i="33"/>
  <c r="I87" i="33"/>
  <c r="I86" i="33"/>
  <c r="I85" i="33"/>
  <c r="I84" i="33"/>
  <c r="I83" i="33"/>
  <c r="I82" i="33"/>
  <c r="I81" i="33"/>
  <c r="I80" i="33"/>
  <c r="I79" i="33"/>
  <c r="I78" i="33"/>
  <c r="I77" i="33"/>
  <c r="I76" i="33"/>
  <c r="I75" i="33"/>
  <c r="I74" i="33"/>
  <c r="I73" i="33"/>
  <c r="I72" i="33"/>
  <c r="H71" i="33"/>
  <c r="I70" i="33"/>
  <c r="I69" i="33"/>
  <c r="I68" i="33"/>
  <c r="H67" i="33"/>
  <c r="I66" i="33"/>
  <c r="I65" i="33"/>
  <c r="I64" i="33"/>
  <c r="I63" i="33"/>
  <c r="I62" i="33"/>
  <c r="I61" i="33"/>
  <c r="I59" i="33"/>
  <c r="I58" i="33"/>
  <c r="H57" i="33"/>
  <c r="I56" i="33"/>
  <c r="I55" i="33"/>
  <c r="I54" i="33"/>
  <c r="I53" i="33"/>
  <c r="I52" i="33"/>
  <c r="I51" i="33"/>
  <c r="I50" i="33"/>
  <c r="I49" i="33"/>
  <c r="I48" i="33"/>
  <c r="I47" i="33"/>
  <c r="I46" i="33"/>
  <c r="I45" i="33"/>
  <c r="I44" i="33"/>
  <c r="I43" i="33"/>
  <c r="I42" i="33"/>
  <c r="I41" i="33"/>
  <c r="I40" i="33"/>
  <c r="I39" i="33"/>
  <c r="I38" i="33"/>
  <c r="I37" i="33"/>
  <c r="I36" i="33"/>
  <c r="H35" i="33"/>
  <c r="I34" i="33"/>
  <c r="I33" i="33"/>
  <c r="I32" i="33"/>
  <c r="I31" i="33"/>
  <c r="I30" i="33"/>
  <c r="I29" i="33"/>
  <c r="I28" i="33"/>
  <c r="I27" i="33"/>
  <c r="H26" i="33"/>
  <c r="I25" i="33"/>
  <c r="I24" i="33"/>
  <c r="I23" i="33"/>
  <c r="I22" i="33"/>
  <c r="I21" i="33"/>
  <c r="I20" i="33"/>
  <c r="I19" i="33"/>
  <c r="I18" i="33"/>
  <c r="I17" i="33"/>
  <c r="I16" i="33"/>
  <c r="I13" i="33"/>
  <c r="I12" i="33"/>
  <c r="I11" i="33"/>
  <c r="I10" i="33"/>
  <c r="I9" i="33"/>
  <c r="I8" i="33"/>
  <c r="I7" i="33"/>
  <c r="I6" i="33"/>
  <c r="I5" i="33"/>
  <c r="I4" i="33"/>
  <c r="I3" i="33"/>
</calcChain>
</file>

<file path=xl/sharedStrings.xml><?xml version="1.0" encoding="utf-8"?>
<sst xmlns="http://schemas.openxmlformats.org/spreadsheetml/2006/main" count="145" uniqueCount="140">
  <si>
    <t>NR. CRT.</t>
  </si>
  <si>
    <t>NUME/PRENUME ANGAJAT</t>
  </si>
  <si>
    <t>VB-ROM</t>
  </si>
  <si>
    <t>GRENDELY ARPAD</t>
  </si>
  <si>
    <t>MAIER MIHAI DANIEL</t>
  </si>
  <si>
    <t>SUCIU NICUȘOR</t>
  </si>
  <si>
    <t>LUP DARIUS CRISTIAN CIM 01.07</t>
  </si>
  <si>
    <t>total stat plata</t>
  </si>
  <si>
    <t>JHIM AKASH_CNP 7980306260049_Y6901812_CIM 15.11.2025</t>
  </si>
  <si>
    <t xml:space="preserve">MANPREET_7020107320027_ V1380187_CIM 03.12.2025.  </t>
  </si>
  <si>
    <t xml:space="preserve">VINOD KUMAR_7860820320028_ Y1815857_CIM 03.12.2025. </t>
  </si>
  <si>
    <t xml:space="preserve">BALJINDER PAUL SINGH_7750907400068_ S7060066_CIM 03.12.2025. </t>
  </si>
  <si>
    <t xml:space="preserve">GURMEET SINGH_7840906320020_ V5458750_CIM 04.12.2025.  </t>
  </si>
  <si>
    <t xml:space="preserve">SODHI RAM_7860520320035_ P3587564_CIM 04.12.2025  </t>
  </si>
  <si>
    <t xml:space="preserve">VIRDAS_7910221320024_ B6781275_CIM 04.12.2025.  </t>
  </si>
  <si>
    <t xml:space="preserve">HARJINDER RAM_7770415320023_ P9498105_CIM 04.12.2025 </t>
  </si>
  <si>
    <t xml:space="preserve">MATIN MD ABDUL </t>
  </si>
  <si>
    <t>NARESH KUMAR_CNP 7940725130042_C2414479_CIM 01.06.2025</t>
  </si>
  <si>
    <t xml:space="preserve">TĂTĂRĂSCU ADRIAN IONUT </t>
  </si>
  <si>
    <t>SURESH KUMAR_CNP 7880529400060_N7173256_CIM 15.11.2025</t>
  </si>
  <si>
    <t>AKASHDEEP_7921011400127 _X8466976_CIM 04.10.2025</t>
  </si>
  <si>
    <t>AMANDEEP_7910310130052_W3340414_ CIM 01.07.2025</t>
  </si>
  <si>
    <t>AMRIK LAL_7780821320020_S5757375_CIM 04.10.2025</t>
  </si>
  <si>
    <t>AMRITPAL SINGH_7880427320045_W3051542_ CIM 01.10.2025</t>
  </si>
  <si>
    <t>BALU MANDEEP_7870619320028_ P2991038_CIM 01.10.2025</t>
  </si>
  <si>
    <t>DALVINDER KUMAR_7821208260021_S7049898  CIM 19.11.2025</t>
  </si>
  <si>
    <t>DAVINDER KUMAR_7840404320035_W1121875_CIM 29.10.2025</t>
  </si>
  <si>
    <t xml:space="preserve">DINESH KUMAR_7831130400083_ V3248742_CIM 05.12.2025. </t>
  </si>
  <si>
    <t>GURWINDER_7930529320031_V7486802_ CIM 01.10.2025</t>
  </si>
  <si>
    <t>HARDEEP SINGH_7960625320039_Y4080548_ CIM 19.11.2025</t>
  </si>
  <si>
    <t>HARJINDER KUMAR_7900626400139_U6321617_CIM 01.10.2025</t>
  </si>
  <si>
    <t>HEM RAJ_7760222320025_P1063094_CIM 01.10.2025</t>
  </si>
  <si>
    <t>JASVIR KUMAR_78204163220031_W3748205_ CIM 15.10.2025</t>
  </si>
  <si>
    <t>KUMAR SADANAND_7000106320036_ W5753967 _CIM 01.10.2025</t>
  </si>
  <si>
    <t>MADAN LAL_7790222130028_P5996903_ CIM 02.06.2025</t>
  </si>
  <si>
    <t xml:space="preserve">MANDEEP SINGH_7801028400065_ V5447334_CIM 03.12.2025.  </t>
  </si>
  <si>
    <t xml:space="preserve">MANJINDER KUMAR_7820428320022_P9515127_CIM 13.12.2025 </t>
  </si>
  <si>
    <t xml:space="preserve">MANOJ KUMAR_7920226400122_B6074911_CIM 13.12.2025 </t>
  </si>
  <si>
    <t>MATTU AMARJIT_7860412400090_X5414460_ CIM 01.07.2025</t>
  </si>
  <si>
    <t>MOHAMAD AJMER_7950623320027_X8481729_CIM 15.10.2025</t>
  </si>
  <si>
    <t>MOHINDER PAL_7800115130046_N3101118_CIM 04.08.2025</t>
  </si>
  <si>
    <t xml:space="preserve">MULAKH RAJ_7870610400146_C7643676_CIM 13.12.2025 </t>
  </si>
  <si>
    <t>NARESH KUMAR_7810515320040_T9166361_CIM 15.10.2025</t>
  </si>
  <si>
    <t>NEERAJ KUMAR_7951220130031_Y5062539 CIM 02.08.2025</t>
  </si>
  <si>
    <t xml:space="preserve">OM PARKASH_7770120130030_U6328221_CIM 13.12.2025 </t>
  </si>
  <si>
    <t>PARVEEN KUMAR_7980411320023_R7851622 _CIM 01.10.2025</t>
  </si>
  <si>
    <t>PAUL SUSHIL_ 7980924130023_T6011832_CIM 02.06.2025</t>
  </si>
  <si>
    <t>RAJ KUMAR_7800404400198_T7409445_CIM 15.10.2025</t>
  </si>
  <si>
    <t>RAVINDER KUMAR_7791002320022_P7689567 _CIM 15.10.2025</t>
  </si>
  <si>
    <t>RAVINDER KUMAR_7821210320029_W6798795_CIM 29.10.2025</t>
  </si>
  <si>
    <t>SHAMSHER SINGH_7860531400076_Y3862786 _CIM 15.10.2025</t>
  </si>
  <si>
    <t>SHANY KUMAR_7890318320047_T3057053_CIM 15.10.2025</t>
  </si>
  <si>
    <t>SUKHWINDER SINGH_7820712320021_R7857301_CIM 01.10.2025</t>
  </si>
  <si>
    <t>SURINDER PAL_7730325320022_R2351098_CIM 01.10.2025</t>
  </si>
  <si>
    <t xml:space="preserve">SUWAN SALWAN_7910820320031_C 0166338_CIM 13.12.2025 </t>
  </si>
  <si>
    <t>GAGANDEEP_7911028190029_U9024811_CIM 21.01.2026</t>
  </si>
  <si>
    <t>HARMEET_7820815320023_W7371998_CIM 27.01.2026</t>
  </si>
  <si>
    <t>JASBIR SINGH_7860123320063_B9179003_CIM 27.01.2026</t>
  </si>
  <si>
    <t>SUKHWNAT SINGH_7850101401060_U9313655_CIM 27.01.2026</t>
  </si>
  <si>
    <t>lichidare</t>
  </si>
  <si>
    <t xml:space="preserve">JAGWINDER SINGH_7970923320032_T4938589_CIM 13.12.2025 </t>
  </si>
  <si>
    <t xml:space="preserve">KALER MANJINDER_7911220320049_P6509971_CIM 13.12.2025 </t>
  </si>
  <si>
    <t>XMEG</t>
  </si>
  <si>
    <t>DAVID GH DUMITRU</t>
  </si>
  <si>
    <t>FRĂȚILĂ MIRCEA</t>
  </si>
  <si>
    <t>STOICA GHEORGHE</t>
  </si>
  <si>
    <t>AVANS STAT PLATA</t>
  </si>
  <si>
    <t>ILIE DUMITRU , CIM 06.02.2026</t>
  </si>
  <si>
    <t xml:space="preserve">LAKHVIR SINGH_7960814320021_S9306436_CIM 01.10.2025                                          </t>
  </si>
  <si>
    <t xml:space="preserve">JASWINDER LAL, 7771216320021,AJ833219,CIM 03.02.2026                                                                 </t>
  </si>
  <si>
    <t xml:space="preserve">KULDEEP KUMAR, 7790202320037, W6756683, CIM 04.02.2026.                                                       </t>
  </si>
  <si>
    <t xml:space="preserve">LAKHVIR KUMAR, 7850212320044, P0401419, CIM 04.02.2026.                                                           </t>
  </si>
  <si>
    <t xml:space="preserve">MAHESH,7760302320036, Y4487638, CIM 03.02.2026                                                                               </t>
  </si>
  <si>
    <t xml:space="preserve">PARWINDER SINGH, 7900718320028, Y6900562, CIM 04.02.2026.                                                    </t>
  </si>
  <si>
    <r>
      <t xml:space="preserve">SACHIN KUMAR, 7960601320053, C7661833, CIM 04.02.2026                                                          </t>
    </r>
    <r>
      <rPr>
        <sz val="14"/>
        <color rgb="FFFF0000"/>
        <rFont val="PT Serif"/>
        <charset val="204"/>
      </rPr>
      <t xml:space="preserve">       </t>
    </r>
  </si>
  <si>
    <t xml:space="preserve">SUKHDEEP SINGH, 7000602400068, V3337617 , CIM 03.02.2026                                                        </t>
  </si>
  <si>
    <t xml:space="preserve">SUNNY KUMAR_V3260260 CIM 07.04       </t>
  </si>
  <si>
    <t>AMANDEEP_7940525320039_ AE930112/N384372_CIM 14.04.2026</t>
  </si>
  <si>
    <t>BALJINDER SINGH_7940622190044_R3487932_CIM 14.04.2026</t>
  </si>
  <si>
    <t>KUMAR RAKESH_7800813190023_X9761522_CIM 14.04.2026</t>
  </si>
  <si>
    <t>DAVINDER SINGH_7850722320031_R5213071_cim 24.04.2026</t>
  </si>
  <si>
    <t>JASVIR SINGH_7841010190046_B9175576_CIM 24.04.2026</t>
  </si>
  <si>
    <t xml:space="preserve"> JATINDER SINGH_7870530190022_R3483825_CIM 24.04.2026</t>
  </si>
  <si>
    <t xml:space="preserve"> KULBIR SINGH_7820228190035_ S7274372_CIM 24.04.2026</t>
  </si>
  <si>
    <t xml:space="preserve"> LAKHWINDER SINGH_7820215320048_T3937866_CIM 24.04.2026</t>
  </si>
  <si>
    <t>MANJINDER SINGH_ 7890919190027_W6834891_CIM 24.04.2026</t>
  </si>
  <si>
    <t>PARAMJIT RAM_7800425190021_Y3108595_CIM 28.04.2026</t>
  </si>
  <si>
    <t>PARWINDER SINGH_7980825190034_P5084150_CIM 28.04.2026</t>
  </si>
  <si>
    <t>RAMAN KUMAR_7840616190027_X2601714_CIM 28.04.2026</t>
  </si>
  <si>
    <t>SANDEEP SINGH_7800320320020_CIM 28.04.2026</t>
  </si>
  <si>
    <t>SONU_7780706190021_R2412784_CIM 28.04.2026</t>
  </si>
  <si>
    <t>VIJAY KUMAR_7021001190021_V7480123_CIM 28.04.2026</t>
  </si>
  <si>
    <t xml:space="preserve"> GAUTAM PRAKASH _7850730190023_PA3820581_CIM 14.04.2026</t>
  </si>
  <si>
    <t>KUMAR SAHIL_7011005320039_V8495430_CIM 07.04.2026</t>
  </si>
  <si>
    <t xml:space="preserve"> NEPALI SURAJ_7930923190041_PA3007870_CIM 14.04.2026</t>
  </si>
  <si>
    <t>HARWINDER KUMAR_7900513320035_B7400664_CIM 01.10.2025</t>
  </si>
  <si>
    <t>plus 40 Euro</t>
  </si>
  <si>
    <t>tichete</t>
  </si>
  <si>
    <t xml:space="preserve">HOCA ION ARON </t>
  </si>
  <si>
    <t xml:space="preserve">SOPIUNEAC VLADIMIR DAN  </t>
  </si>
  <si>
    <t>STOICA LAURENTIU GABRIEL_1980101261700_CIM 10.06.2026</t>
  </si>
  <si>
    <t>LAL KISHORI_7860630320034_S0190166_CIM 16.06.2026</t>
  </si>
  <si>
    <t>SARWAN KUMAR_7951202190031_AK546528_CIM 16.06.2026</t>
  </si>
  <si>
    <t xml:space="preserve">THAPA MAGAR CHET BADADUR_7840517190026_PA3761977_CIM 23.01.2026  </t>
  </si>
  <si>
    <t>SINGH MANJEET_7970320400083_T0133063_CIM 05.12.2025</t>
  </si>
  <si>
    <t xml:space="preserve">MANDEEP SINGH_CNP 7880529400079_T4897284_ CIM 01.10.2025    </t>
  </si>
  <si>
    <t>KAMALJIT_7930719400105_W6802483_CIM 13.12.2025,</t>
  </si>
  <si>
    <t xml:space="preserve">AMARDEEP SINGH_7900618400104_W2190376_CIM 01.10.2026_ </t>
  </si>
  <si>
    <t xml:space="preserve">BHATTARAI DAMBER BAHADUR_7880830190021_PA4426810_CIM 23.01.2026 </t>
  </si>
  <si>
    <t xml:space="preserve">BUDHA MAGAR SAGAR_7890905190020_10892656_CIM 23.01.2026 </t>
  </si>
  <si>
    <t>GOPAL RAM_7890109130037_R5823936_CIM 02.06.2025,</t>
  </si>
  <si>
    <t>MOLDOVAN RAUL GHEORGHE/ AA 9500 BRUT</t>
  </si>
  <si>
    <t xml:space="preserve">MUBARAK ALI_7991012320047_S4155599_CIM 19.05.2026 </t>
  </si>
  <si>
    <t>Poprire</t>
  </si>
  <si>
    <t xml:space="preserve">     INCETAT CIM 09.07.2026</t>
  </si>
  <si>
    <t xml:space="preserve">DALVIR SINGH_7000809400101_W6452456_CIM 29.10.2025 </t>
  </si>
  <si>
    <t>INCETAT CIM 09.07.2026</t>
  </si>
  <si>
    <t xml:space="preserve">DANGI KAMAL_7960428190023_PA3628402_CIM 23.01.2026 </t>
  </si>
  <si>
    <t xml:space="preserve">DHENGA DIPAK_7961120190021_11154953_CIM 23.01.2016 </t>
  </si>
  <si>
    <t xml:space="preserve">GHARTI SUKUR LAL_7980710190023_PA0359051_CIM 23.01.2026 </t>
  </si>
  <si>
    <t xml:space="preserve">JASSI VISHAL_7010831320024_ U6168789_CIM 04.12.2025 </t>
  </si>
  <si>
    <t>incetat cim</t>
  </si>
  <si>
    <t>LOVERPREET SINGH_7980407400163_CIM 01.10.2025_</t>
  </si>
  <si>
    <t xml:space="preserve">NEERAJ KUMAR_7930606320028_ Z7751757_CIM 05.12.2025  </t>
  </si>
  <si>
    <t xml:space="preserve">PRASAD GURU_7950627400087_W2457733_CIM 27.01.2026  </t>
  </si>
  <si>
    <t>RAKESH KUMAR_7801105320027_R3796050 _CIM 15.10.2025_</t>
  </si>
  <si>
    <t xml:space="preserve">RANA DIL BAHADUR_7841106190024_BA0362892_CIM 23.01.2026 </t>
  </si>
  <si>
    <t xml:space="preserve">SAGAR SINGH_7001130320029_B7406434_CIM 01.10.2025_ </t>
  </si>
  <si>
    <t xml:space="preserve">SINGH JASDEEP_7940811400113_T9173481_CIM 04.10.2025_ </t>
  </si>
  <si>
    <t>INCETAT CIM 21.07.2026</t>
  </si>
  <si>
    <t>CERCEA NICOLAE_CNP 177122.._CIM 08.07.2026</t>
  </si>
  <si>
    <t>SINGH JASVINDRA_7820124190022_AP 129826_CIM 14.07.2026</t>
  </si>
  <si>
    <t>ZALISCHI FLORIN CONSTANTIN_CIM 21.07.2026</t>
  </si>
  <si>
    <t>plecat INDIA</t>
  </si>
  <si>
    <t>plecat India</t>
  </si>
  <si>
    <t xml:space="preserve">INCETAT CIM </t>
  </si>
  <si>
    <t xml:space="preserve">DIF </t>
  </si>
  <si>
    <t>IULIE 2026</t>
  </si>
  <si>
    <t xml:space="preserve">net+tichete stat plata </t>
  </si>
  <si>
    <t xml:space="preserve">Avans  Salar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</si>
</sst>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PT Serif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4"/>
      <name val="PT Serif"/>
      <charset val="204"/>
    </font>
    <font>
      <b/>
      <sz val="11"/>
      <color theme="1"/>
      <name val="PT Serif"/>
      <charset val="204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PT Serif"/>
      <charset val="204"/>
    </font>
    <font>
      <b/>
      <sz val="12"/>
      <color theme="1"/>
      <name val="Calibri"/>
      <family val="2"/>
      <scheme val="minor"/>
    </font>
    <font>
      <sz val="14"/>
      <color theme="1"/>
      <name val="PT Serif"/>
      <charset val="204"/>
    </font>
    <font>
      <sz val="14"/>
      <name val="PT Serif"/>
      <charset val="204"/>
    </font>
    <font>
      <b/>
      <sz val="14"/>
      <color theme="1"/>
      <name val="Calibri"/>
      <family val="2"/>
      <scheme val="minor"/>
    </font>
    <font>
      <sz val="14"/>
      <name val="Times New Roman"/>
      <family val="1"/>
    </font>
    <font>
      <b/>
      <sz val="11"/>
      <color theme="1"/>
      <name val="Times New Roman"/>
      <family val="1"/>
    </font>
    <font>
      <sz val="14"/>
      <color rgb="FF000000"/>
      <name val="PT Serif"/>
      <charset val="204"/>
    </font>
    <font>
      <sz val="14"/>
      <color rgb="FFFF0000"/>
      <name val="PT Serif"/>
      <charset val="204"/>
    </font>
    <font>
      <b/>
      <sz val="16"/>
      <color theme="1"/>
      <name val="PT Serif"/>
      <charset val="204"/>
    </font>
    <font>
      <sz val="14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name val="PT Serif"/>
      <charset val="204"/>
    </font>
    <font>
      <b/>
      <sz val="16"/>
      <color theme="1"/>
      <name val="Times New Roman"/>
      <family val="1"/>
    </font>
    <font>
      <b/>
      <sz val="16"/>
      <color theme="1"/>
      <name val="PT Serif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theme="1"/>
      <name val="Times New Roman"/>
      <family val="1"/>
    </font>
    <font>
      <sz val="16"/>
      <name val="Times New Roman"/>
      <family val="1"/>
    </font>
    <font>
      <b/>
      <sz val="14"/>
      <color rgb="FFFF0000"/>
      <name val="PT Serif"/>
      <charset val="204"/>
    </font>
    <font>
      <b/>
      <sz val="16"/>
      <color rgb="FFFF0000"/>
      <name val="PT Serif"/>
      <charset val="204"/>
    </font>
    <font>
      <b/>
      <sz val="16"/>
      <color rgb="FFFF0000"/>
      <name val="Calibri"/>
      <family val="2"/>
      <scheme val="minor"/>
    </font>
    <font>
      <b/>
      <sz val="16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04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7" fillId="2" borderId="1" xfId="93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top" wrapText="1"/>
    </xf>
    <xf numFmtId="0" fontId="14" fillId="2" borderId="1" xfId="0" applyFont="1" applyFill="1" applyBorder="1"/>
    <xf numFmtId="0" fontId="15" fillId="2" borderId="1" xfId="93" applyFont="1" applyFill="1" applyBorder="1" applyAlignment="1">
      <alignment horizontal="left" vertical="center" wrapText="1"/>
    </xf>
    <xf numFmtId="0" fontId="11" fillId="0" borderId="0" xfId="0" applyFont="1"/>
    <xf numFmtId="0" fontId="11" fillId="0" borderId="1" xfId="0" applyFont="1" applyBorder="1"/>
    <xf numFmtId="0" fontId="12" fillId="2" borderId="1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1" fillId="2" borderId="1" xfId="0" applyFont="1" applyFill="1" applyBorder="1"/>
    <xf numFmtId="0" fontId="12" fillId="2" borderId="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12" fillId="2" borderId="1" xfId="93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horizontal="center"/>
    </xf>
    <xf numFmtId="0" fontId="0" fillId="2" borderId="1" xfId="0" applyFill="1" applyBorder="1"/>
    <xf numFmtId="0" fontId="27" fillId="2" borderId="1" xfId="0" applyFont="1" applyFill="1" applyBorder="1" applyAlignment="1">
      <alignment horizontal="center"/>
    </xf>
    <xf numFmtId="0" fontId="25" fillId="5" borderId="0" xfId="0" applyFont="1" applyFill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14" fillId="2" borderId="2" xfId="0" applyFont="1" applyFill="1" applyBorder="1"/>
    <xf numFmtId="0" fontId="22" fillId="2" borderId="1" xfId="0" applyFont="1" applyFill="1" applyBorder="1"/>
    <xf numFmtId="0" fontId="19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vertical="center"/>
    </xf>
    <xf numFmtId="0" fontId="26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 wrapText="1"/>
    </xf>
    <xf numFmtId="0" fontId="13" fillId="4" borderId="0" xfId="0" applyFont="1" applyFill="1" applyAlignment="1">
      <alignment horizontal="center"/>
    </xf>
    <xf numFmtId="0" fontId="27" fillId="4" borderId="0" xfId="0" applyFont="1" applyFill="1" applyAlignment="1">
      <alignment horizontal="center" wrapText="1"/>
    </xf>
    <xf numFmtId="0" fontId="21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4" fillId="2" borderId="1" xfId="93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1" fillId="2" borderId="0" xfId="0" applyFont="1" applyFill="1"/>
    <xf numFmtId="0" fontId="30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/>
    </xf>
    <xf numFmtId="0" fontId="24" fillId="2" borderId="1" xfId="93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vertical="center"/>
    </xf>
    <xf numFmtId="0" fontId="27" fillId="0" borderId="0" xfId="0" applyFont="1"/>
    <xf numFmtId="0" fontId="11" fillId="2" borderId="1" xfId="0" applyFont="1" applyFill="1" applyBorder="1" applyAlignment="1">
      <alignment horizontal="left"/>
    </xf>
    <xf numFmtId="0" fontId="29" fillId="10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/>
    </xf>
    <xf numFmtId="0" fontId="20" fillId="2" borderId="1" xfId="0" applyFont="1" applyFill="1" applyBorder="1"/>
    <xf numFmtId="0" fontId="14" fillId="11" borderId="1" xfId="0" applyFont="1" applyFill="1" applyBorder="1"/>
    <xf numFmtId="0" fontId="11" fillId="11" borderId="1" xfId="0" applyFont="1" applyFill="1" applyBorder="1"/>
    <xf numFmtId="0" fontId="32" fillId="2" borderId="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</cellXfs>
  <cellStyles count="1004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Followed Hyperlink" xfId="408" builtinId="9" hidden="1"/>
    <cellStyle name="Followed Hyperlink" xfId="409" builtinId="9" hidden="1"/>
    <cellStyle name="Followed Hyperlink" xfId="410" builtinId="9" hidden="1"/>
    <cellStyle name="Followed Hyperlink" xfId="411" builtinId="9" hidden="1"/>
    <cellStyle name="Followed Hyperlink" xfId="412" builtinId="9" hidden="1"/>
    <cellStyle name="Followed Hyperlink" xfId="413" builtinId="9" hidden="1"/>
    <cellStyle name="Followed Hyperlink" xfId="414" builtinId="9" hidden="1"/>
    <cellStyle name="Followed Hyperlink" xfId="415" builtinId="9" hidden="1"/>
    <cellStyle name="Followed Hyperlink" xfId="416" builtinId="9" hidden="1"/>
    <cellStyle name="Followed Hyperlink" xfId="417" builtinId="9" hidden="1"/>
    <cellStyle name="Followed Hyperlink" xfId="418" builtinId="9" hidden="1"/>
    <cellStyle name="Followed Hyperlink" xfId="419" builtinId="9" hidden="1"/>
    <cellStyle name="Followed Hyperlink" xfId="420" builtinId="9" hidden="1"/>
    <cellStyle name="Followed Hyperlink" xfId="421" builtinId="9" hidden="1"/>
    <cellStyle name="Followed Hyperlink" xfId="422" builtinId="9" hidden="1"/>
    <cellStyle name="Followed Hyperlink" xfId="423" builtinId="9" hidden="1"/>
    <cellStyle name="Followed Hyperlink" xfId="424" builtinId="9" hidden="1"/>
    <cellStyle name="Followed Hyperlink" xfId="425" builtinId="9" hidden="1"/>
    <cellStyle name="Followed Hyperlink" xfId="426" builtinId="9" hidden="1"/>
    <cellStyle name="Followed Hyperlink" xfId="427" builtinId="9" hidden="1"/>
    <cellStyle name="Followed Hyperlink" xfId="428" builtinId="9" hidden="1"/>
    <cellStyle name="Followed Hyperlink" xfId="429" builtinId="9" hidden="1"/>
    <cellStyle name="Followed Hyperlink" xfId="430" builtinId="9" hidden="1"/>
    <cellStyle name="Followed Hyperlink" xfId="431" builtinId="9" hidden="1"/>
    <cellStyle name="Followed Hyperlink" xfId="432" builtinId="9" hidden="1"/>
    <cellStyle name="Followed Hyperlink" xfId="433" builtinId="9" hidden="1"/>
    <cellStyle name="Followed Hyperlink" xfId="434" builtinId="9" hidden="1"/>
    <cellStyle name="Followed Hyperlink" xfId="435" builtinId="9" hidden="1"/>
    <cellStyle name="Followed Hyperlink" xfId="436" builtinId="9" hidden="1"/>
    <cellStyle name="Followed Hyperlink" xfId="437" builtinId="9" hidden="1"/>
    <cellStyle name="Followed Hyperlink" xfId="438" builtinId="9" hidden="1"/>
    <cellStyle name="Followed Hyperlink" xfId="439" builtinId="9" hidden="1"/>
    <cellStyle name="Followed Hyperlink" xfId="440" builtinId="9" hidden="1"/>
    <cellStyle name="Followed Hyperlink" xfId="441" builtinId="9" hidden="1"/>
    <cellStyle name="Followed Hyperlink" xfId="442" builtinId="9" hidden="1"/>
    <cellStyle name="Followed Hyperlink" xfId="443" builtinId="9" hidden="1"/>
    <cellStyle name="Followed Hyperlink" xfId="444" builtinId="9" hidden="1"/>
    <cellStyle name="Followed Hyperlink" xfId="445" builtinId="9" hidden="1"/>
    <cellStyle name="Followed Hyperlink" xfId="446" builtinId="9" hidden="1"/>
    <cellStyle name="Followed Hyperlink" xfId="447" builtinId="9" hidden="1"/>
    <cellStyle name="Followed Hyperlink" xfId="448" builtinId="9" hidden="1"/>
    <cellStyle name="Followed Hyperlink" xfId="449" builtinId="9" hidden="1"/>
    <cellStyle name="Followed Hyperlink" xfId="450" builtinId="9" hidden="1"/>
    <cellStyle name="Followed Hyperlink" xfId="451" builtinId="9" hidden="1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1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480" builtinId="9" hidden="1"/>
    <cellStyle name="Followed Hyperlink" xfId="481" builtinId="9" hidden="1"/>
    <cellStyle name="Followed Hyperlink" xfId="482" builtinId="9" hidden="1"/>
    <cellStyle name="Followed Hyperlink" xfId="483" builtinId="9" hidden="1"/>
    <cellStyle name="Followed Hyperlink" xfId="484" builtinId="9" hidden="1"/>
    <cellStyle name="Followed Hyperlink" xfId="485" builtinId="9" hidden="1"/>
    <cellStyle name="Followed Hyperlink" xfId="486" builtinId="9" hidden="1"/>
    <cellStyle name="Followed Hyperlink" xfId="487" builtinId="9" hidden="1"/>
    <cellStyle name="Followed Hyperlink" xfId="488" builtinId="9" hidden="1"/>
    <cellStyle name="Followed Hyperlink" xfId="489" builtinId="9" hidden="1"/>
    <cellStyle name="Followed Hyperlink" xfId="490" builtinId="9" hidden="1"/>
    <cellStyle name="Followed Hyperlink" xfId="491" builtinId="9" hidden="1"/>
    <cellStyle name="Followed Hyperlink" xfId="492" builtinId="9" hidden="1"/>
    <cellStyle name="Followed Hyperlink" xfId="493" builtinId="9" hidden="1"/>
    <cellStyle name="Followed Hyperlink" xfId="494" builtinId="9" hidden="1"/>
    <cellStyle name="Followed Hyperlink" xfId="495" builtinId="9" hidden="1"/>
    <cellStyle name="Followed Hyperlink" xfId="496" builtinId="9" hidden="1"/>
    <cellStyle name="Followed Hyperlink" xfId="497" builtinId="9" hidden="1"/>
    <cellStyle name="Followed Hyperlink" xfId="498" builtinId="9" hidden="1"/>
    <cellStyle name="Followed Hyperlink" xfId="499" builtinId="9" hidden="1"/>
    <cellStyle name="Followed Hyperlink" xfId="500" builtinId="9" hidden="1"/>
    <cellStyle name="Followed Hyperlink" xfId="501" builtinId="9" hidden="1"/>
    <cellStyle name="Followed Hyperlink" xfId="502" builtinId="9" hidden="1"/>
    <cellStyle name="Followed Hyperlink" xfId="503" builtinId="9" hidden="1"/>
    <cellStyle name="Followed Hyperlink" xfId="504" builtinId="9" hidden="1"/>
    <cellStyle name="Followed Hyperlink" xfId="505" builtinId="9" hidden="1"/>
    <cellStyle name="Followed Hyperlink" xfId="506" builtinId="9" hidden="1"/>
    <cellStyle name="Followed Hyperlink" xfId="507" builtinId="9" hidden="1"/>
    <cellStyle name="Followed Hyperlink" xfId="508" builtinId="9" hidden="1"/>
    <cellStyle name="Followed Hyperlink" xfId="509" builtinId="9" hidden="1"/>
    <cellStyle name="Followed Hyperlink" xfId="510" builtinId="9" hidden="1"/>
    <cellStyle name="Followed Hyperlink" xfId="511" builtinId="9" hidden="1"/>
    <cellStyle name="Followed Hyperlink" xfId="512" builtinId="9" hidden="1"/>
    <cellStyle name="Followed Hyperlink" xfId="513" builtinId="9" hidden="1"/>
    <cellStyle name="Followed Hyperlink" xfId="514" builtinId="9" hidden="1"/>
    <cellStyle name="Followed Hyperlink" xfId="515" builtinId="9" hidden="1"/>
    <cellStyle name="Followed Hyperlink" xfId="516" builtinId="9" hidden="1"/>
    <cellStyle name="Followed Hyperlink" xfId="517" builtinId="9" hidden="1"/>
    <cellStyle name="Followed Hyperlink" xfId="518" builtinId="9" hidden="1"/>
    <cellStyle name="Followed Hyperlink" xfId="519" builtinId="9" hidden="1"/>
    <cellStyle name="Followed Hyperlink" xfId="520" builtinId="9" hidden="1"/>
    <cellStyle name="Followed Hyperlink" xfId="521" builtinId="9" hidden="1"/>
    <cellStyle name="Followed Hyperlink" xfId="522" builtinId="9" hidden="1"/>
    <cellStyle name="Followed Hyperlink" xfId="523" builtinId="9" hidden="1"/>
    <cellStyle name="Followed Hyperlink" xfId="524" builtinId="9" hidden="1"/>
    <cellStyle name="Followed Hyperlink" xfId="525" builtinId="9" hidden="1"/>
    <cellStyle name="Followed Hyperlink" xfId="526" builtinId="9" hidden="1"/>
    <cellStyle name="Followed Hyperlink" xfId="527" builtinId="9" hidden="1"/>
    <cellStyle name="Followed Hyperlink" xfId="528" builtinId="9" hidden="1"/>
    <cellStyle name="Followed Hyperlink" xfId="529" builtinId="9" hidden="1"/>
    <cellStyle name="Followed Hyperlink" xfId="530" builtinId="9" hidden="1"/>
    <cellStyle name="Followed Hyperlink" xfId="531" builtinId="9" hidden="1"/>
    <cellStyle name="Followed Hyperlink" xfId="532" builtinId="9" hidden="1"/>
    <cellStyle name="Followed Hyperlink" xfId="533" builtinId="9" hidden="1"/>
    <cellStyle name="Followed Hyperlink" xfId="534" builtinId="9" hidden="1"/>
    <cellStyle name="Followed Hyperlink" xfId="535" builtinId="9" hidden="1"/>
    <cellStyle name="Followed Hyperlink" xfId="536" builtinId="9" hidden="1"/>
    <cellStyle name="Followed Hyperlink" xfId="537" builtinId="9" hidden="1"/>
    <cellStyle name="Followed Hyperlink" xfId="538" builtinId="9" hidden="1"/>
    <cellStyle name="Followed Hyperlink" xfId="539" builtinId="9" hidden="1"/>
    <cellStyle name="Followed Hyperlink" xfId="540" builtinId="9" hidden="1"/>
    <cellStyle name="Followed Hyperlink" xfId="541" builtinId="9" hidden="1"/>
    <cellStyle name="Followed Hyperlink" xfId="542" builtinId="9" hidden="1"/>
    <cellStyle name="Followed Hyperlink" xfId="543" builtinId="9" hidden="1"/>
    <cellStyle name="Followed Hyperlink" xfId="544" builtinId="9" hidden="1"/>
    <cellStyle name="Followed Hyperlink" xfId="545" builtinId="9" hidden="1"/>
    <cellStyle name="Followed Hyperlink" xfId="546" builtinId="9" hidden="1"/>
    <cellStyle name="Followed Hyperlink" xfId="547" builtinId="9" hidden="1"/>
    <cellStyle name="Followed Hyperlink" xfId="548" builtinId="9" hidden="1"/>
    <cellStyle name="Followed Hyperlink" xfId="549" builtinId="9" hidden="1"/>
    <cellStyle name="Followed Hyperlink" xfId="550" builtinId="9" hidden="1"/>
    <cellStyle name="Followed Hyperlink" xfId="551" builtinId="9" hidden="1"/>
    <cellStyle name="Followed Hyperlink" xfId="552" builtinId="9" hidden="1"/>
    <cellStyle name="Followed Hyperlink" xfId="553" builtinId="9" hidden="1"/>
    <cellStyle name="Followed Hyperlink" xfId="554" builtinId="9" hidden="1"/>
    <cellStyle name="Followed Hyperlink" xfId="555" builtinId="9" hidden="1"/>
    <cellStyle name="Followed Hyperlink" xfId="556" builtinId="9" hidden="1"/>
    <cellStyle name="Followed Hyperlink" xfId="557" builtinId="9" hidden="1"/>
    <cellStyle name="Followed Hyperlink" xfId="558" builtinId="9" hidden="1"/>
    <cellStyle name="Followed Hyperlink" xfId="559" builtinId="9" hidden="1"/>
    <cellStyle name="Followed Hyperlink" xfId="560" builtinId="9" hidden="1"/>
    <cellStyle name="Followed Hyperlink" xfId="561" builtinId="9" hidden="1"/>
    <cellStyle name="Followed Hyperlink" xfId="562" builtinId="9" hidden="1"/>
    <cellStyle name="Followed Hyperlink" xfId="563" builtinId="9" hidden="1"/>
    <cellStyle name="Followed Hyperlink" xfId="564" builtinId="9" hidden="1"/>
    <cellStyle name="Followed Hyperlink" xfId="565" builtinId="9" hidden="1"/>
    <cellStyle name="Followed Hyperlink" xfId="566" builtinId="9" hidden="1"/>
    <cellStyle name="Followed Hyperlink" xfId="567" builtinId="9" hidden="1"/>
    <cellStyle name="Followed Hyperlink" xfId="568" builtinId="9" hidden="1"/>
    <cellStyle name="Followed Hyperlink" xfId="569" builtinId="9" hidden="1"/>
    <cellStyle name="Followed Hyperlink" xfId="570" builtinId="9" hidden="1"/>
    <cellStyle name="Followed Hyperlink" xfId="571" builtinId="9" hidden="1"/>
    <cellStyle name="Followed Hyperlink" xfId="572" builtinId="9" hidden="1"/>
    <cellStyle name="Followed Hyperlink" xfId="573" builtinId="9" hidden="1"/>
    <cellStyle name="Followed Hyperlink" xfId="574" builtinId="9" hidden="1"/>
    <cellStyle name="Followed Hyperlink" xfId="575" builtinId="9" hidden="1"/>
    <cellStyle name="Followed Hyperlink" xfId="576" builtinId="9" hidden="1"/>
    <cellStyle name="Followed Hyperlink" xfId="577" builtinId="9" hidden="1"/>
    <cellStyle name="Followed Hyperlink" xfId="578" builtinId="9" hidden="1"/>
    <cellStyle name="Followed Hyperlink" xfId="579" builtinId="9" hidden="1"/>
    <cellStyle name="Followed Hyperlink" xfId="580" builtinId="9" hidden="1"/>
    <cellStyle name="Followed Hyperlink" xfId="581" builtinId="9" hidden="1"/>
    <cellStyle name="Followed Hyperlink" xfId="582" builtinId="9" hidden="1"/>
    <cellStyle name="Followed Hyperlink" xfId="583" builtinId="9" hidden="1"/>
    <cellStyle name="Followed Hyperlink" xfId="584" builtinId="9" hidden="1"/>
    <cellStyle name="Followed Hyperlink" xfId="585" builtinId="9" hidden="1"/>
    <cellStyle name="Followed Hyperlink" xfId="586" builtinId="9" hidden="1"/>
    <cellStyle name="Followed Hyperlink" xfId="587" builtinId="9" hidden="1"/>
    <cellStyle name="Followed Hyperlink" xfId="588" builtinId="9" hidden="1"/>
    <cellStyle name="Followed Hyperlink" xfId="589" builtinId="9" hidden="1"/>
    <cellStyle name="Followed Hyperlink" xfId="590" builtinId="9" hidden="1"/>
    <cellStyle name="Followed Hyperlink" xfId="591" builtinId="9" hidden="1"/>
    <cellStyle name="Followed Hyperlink" xfId="592" builtinId="9" hidden="1"/>
    <cellStyle name="Followed Hyperlink" xfId="593" builtinId="9" hidden="1"/>
    <cellStyle name="Followed Hyperlink" xfId="594" builtinId="9" hidden="1"/>
    <cellStyle name="Followed Hyperlink" xfId="595" builtinId="9" hidden="1"/>
    <cellStyle name="Followed Hyperlink" xfId="596" builtinId="9" hidden="1"/>
    <cellStyle name="Followed Hyperlink" xfId="597" builtinId="9" hidden="1"/>
    <cellStyle name="Followed Hyperlink" xfId="598" builtinId="9" hidden="1"/>
    <cellStyle name="Followed Hyperlink" xfId="599" builtinId="9" hidden="1"/>
    <cellStyle name="Followed Hyperlink" xfId="600" builtinId="9" hidden="1"/>
    <cellStyle name="Followed Hyperlink" xfId="601" builtinId="9" hidden="1"/>
    <cellStyle name="Followed Hyperlink" xfId="602" builtinId="9" hidden="1"/>
    <cellStyle name="Followed Hyperlink" xfId="603" builtinId="9" hidden="1"/>
    <cellStyle name="Followed Hyperlink" xfId="604" builtinId="9" hidden="1"/>
    <cellStyle name="Followed Hyperlink" xfId="605" builtinId="9" hidden="1"/>
    <cellStyle name="Followed Hyperlink" xfId="606" builtinId="9" hidden="1"/>
    <cellStyle name="Followed Hyperlink" xfId="607" builtinId="9" hidden="1"/>
    <cellStyle name="Followed Hyperlink" xfId="608" builtinId="9" hidden="1"/>
    <cellStyle name="Followed Hyperlink" xfId="609" builtinId="9" hidden="1"/>
    <cellStyle name="Followed Hyperlink" xfId="610" builtinId="9" hidden="1"/>
    <cellStyle name="Followed Hyperlink" xfId="611" builtinId="9" hidden="1"/>
    <cellStyle name="Followed Hyperlink" xfId="612" builtinId="9" hidden="1"/>
    <cellStyle name="Followed Hyperlink" xfId="613" builtinId="9" hidden="1"/>
    <cellStyle name="Followed Hyperlink" xfId="614" builtinId="9" hidden="1"/>
    <cellStyle name="Followed Hyperlink" xfId="615" builtinId="9" hidden="1"/>
    <cellStyle name="Followed Hyperlink" xfId="616" builtinId="9" hidden="1"/>
    <cellStyle name="Followed Hyperlink" xfId="617" builtinId="9" hidden="1"/>
    <cellStyle name="Followed Hyperlink" xfId="618" builtinId="9" hidden="1"/>
    <cellStyle name="Followed Hyperlink" xfId="619" builtinId="9" hidden="1"/>
    <cellStyle name="Followed Hyperlink" xfId="620" builtinId="9" hidden="1"/>
    <cellStyle name="Followed Hyperlink" xfId="621" builtinId="9" hidden="1"/>
    <cellStyle name="Followed Hyperlink" xfId="622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Normal" xfId="0" builtinId="0"/>
    <cellStyle name="Normal_PONTAJ CODUL MUNCII MODIFICAT" xfId="93" xr:uid="{00000000-0005-0000-0000-0000EB03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S120"/>
  <sheetViews>
    <sheetView tabSelected="1" topLeftCell="B30" zoomScale="171" zoomScaleNormal="171" workbookViewId="0">
      <selection activeCell="I40" sqref="D40:I40"/>
    </sheetView>
  </sheetViews>
  <sheetFormatPr baseColWidth="10" defaultRowHeight="20" x14ac:dyDescent="0.2"/>
  <cols>
    <col min="1" max="1" width="0" style="1" hidden="1" customWidth="1"/>
    <col min="2" max="2" width="4.83203125" style="2" customWidth="1"/>
    <col min="3" max="3" width="4.33203125" style="4" customWidth="1"/>
    <col min="4" max="4" width="106.33203125" style="19" customWidth="1"/>
    <col min="5" max="5" width="12" style="10" customWidth="1"/>
    <col min="6" max="6" width="10.33203125" style="10" customWidth="1"/>
    <col min="7" max="7" width="12.6640625" style="10" customWidth="1"/>
    <col min="8" max="8" width="11.83203125" style="40" customWidth="1"/>
    <col min="9" max="9" width="13.6640625" style="40" customWidth="1"/>
    <col min="10" max="10" width="11.6640625" style="40" customWidth="1"/>
    <col min="11" max="11" width="10.83203125" style="12" customWidth="1"/>
    <col min="12" max="12" width="14" style="3" customWidth="1"/>
    <col min="13" max="13" width="9.83203125" style="5" customWidth="1"/>
    <col min="14" max="14" width="10.5" style="5" customWidth="1"/>
    <col min="15" max="15" width="11.6640625" style="5" customWidth="1"/>
    <col min="16" max="16" width="8.6640625" style="5" customWidth="1"/>
    <col min="17" max="17" width="9.83203125" style="13" customWidth="1"/>
    <col min="18" max="45" width="10.83203125" style="2"/>
    <col min="46" max="16384" width="10.83203125" style="1"/>
  </cols>
  <sheetData>
    <row r="1" spans="3:13" ht="21" x14ac:dyDescent="0.25">
      <c r="D1" s="74" t="s">
        <v>2</v>
      </c>
      <c r="E1" s="80" t="s">
        <v>137</v>
      </c>
      <c r="F1" s="81"/>
      <c r="G1" s="81"/>
      <c r="H1" s="81"/>
      <c r="I1" s="82"/>
      <c r="J1" s="73"/>
      <c r="K1" s="73"/>
    </row>
    <row r="2" spans="3:13" ht="48" x14ac:dyDescent="0.2">
      <c r="C2" s="55" t="s">
        <v>0</v>
      </c>
      <c r="D2" s="56" t="s">
        <v>1</v>
      </c>
      <c r="E2" s="23" t="s">
        <v>139</v>
      </c>
      <c r="F2" s="55" t="s">
        <v>113</v>
      </c>
      <c r="G2" s="53" t="s">
        <v>59</v>
      </c>
      <c r="H2" s="69" t="s">
        <v>97</v>
      </c>
      <c r="I2" s="69" t="s">
        <v>138</v>
      </c>
      <c r="J2" s="67"/>
      <c r="K2" s="8"/>
      <c r="L2" s="5"/>
    </row>
    <row r="3" spans="3:13" ht="21" x14ac:dyDescent="0.25">
      <c r="C3" s="11">
        <v>1</v>
      </c>
      <c r="D3" s="42" t="s">
        <v>20</v>
      </c>
      <c r="E3" s="27">
        <v>1100</v>
      </c>
      <c r="F3" s="27"/>
      <c r="G3" s="70">
        <v>2463</v>
      </c>
      <c r="H3" s="39"/>
      <c r="I3" s="41">
        <f t="shared" ref="I3:I25" si="0">SUM(E3:H3)</f>
        <v>3563</v>
      </c>
      <c r="J3" s="28"/>
      <c r="K3" s="57"/>
      <c r="L3" s="5"/>
    </row>
    <row r="4" spans="3:13" ht="21" x14ac:dyDescent="0.25">
      <c r="C4" s="6">
        <v>2</v>
      </c>
      <c r="D4" s="18" t="s">
        <v>21</v>
      </c>
      <c r="E4" s="21">
        <v>1100</v>
      </c>
      <c r="F4" s="21"/>
      <c r="G4" s="70">
        <v>3325</v>
      </c>
      <c r="H4" s="39"/>
      <c r="I4" s="41">
        <f t="shared" si="0"/>
        <v>4425</v>
      </c>
      <c r="J4" s="28"/>
      <c r="K4" s="28"/>
      <c r="L4" s="5"/>
    </row>
    <row r="5" spans="3:13" ht="21" x14ac:dyDescent="0.25">
      <c r="C5" s="6">
        <v>3</v>
      </c>
      <c r="D5" s="17" t="s">
        <v>77</v>
      </c>
      <c r="E5" s="21">
        <v>1100</v>
      </c>
      <c r="F5" s="30"/>
      <c r="G5" s="70">
        <v>3238</v>
      </c>
      <c r="H5" s="39"/>
      <c r="I5" s="41">
        <f t="shared" si="0"/>
        <v>4338</v>
      </c>
      <c r="J5" s="8"/>
      <c r="K5" s="9"/>
      <c r="L5" s="5"/>
    </row>
    <row r="6" spans="3:13" ht="21" x14ac:dyDescent="0.25">
      <c r="C6" s="11">
        <v>4</v>
      </c>
      <c r="D6" s="84" t="s">
        <v>107</v>
      </c>
      <c r="E6" s="21">
        <v>0</v>
      </c>
      <c r="F6" s="21"/>
      <c r="G6" s="35">
        <v>1122</v>
      </c>
      <c r="H6" s="39"/>
      <c r="I6" s="41">
        <f t="shared" si="0"/>
        <v>1122</v>
      </c>
      <c r="J6" s="28"/>
      <c r="K6" s="28"/>
      <c r="L6" s="64" t="s">
        <v>114</v>
      </c>
      <c r="M6" s="64"/>
    </row>
    <row r="7" spans="3:13" ht="21" x14ac:dyDescent="0.25">
      <c r="C7" s="6">
        <v>5</v>
      </c>
      <c r="D7" s="17" t="s">
        <v>22</v>
      </c>
      <c r="E7" s="21">
        <v>1100</v>
      </c>
      <c r="F7" s="21"/>
      <c r="G7" s="35">
        <v>2720</v>
      </c>
      <c r="H7" s="39"/>
      <c r="I7" s="41">
        <f t="shared" si="0"/>
        <v>3820</v>
      </c>
      <c r="J7" s="28"/>
      <c r="K7" s="28"/>
      <c r="L7" s="5"/>
    </row>
    <row r="8" spans="3:13" ht="21" x14ac:dyDescent="0.25">
      <c r="C8" s="6">
        <v>6</v>
      </c>
      <c r="D8" s="17" t="s">
        <v>23</v>
      </c>
      <c r="E8" s="21">
        <v>1100</v>
      </c>
      <c r="F8" s="21"/>
      <c r="G8" s="35">
        <v>2709</v>
      </c>
      <c r="H8" s="39"/>
      <c r="I8" s="41">
        <f t="shared" si="0"/>
        <v>3809</v>
      </c>
      <c r="J8" s="28"/>
      <c r="K8" s="28"/>
      <c r="L8" s="5"/>
    </row>
    <row r="9" spans="3:13" ht="21" x14ac:dyDescent="0.25">
      <c r="C9" s="11">
        <v>7</v>
      </c>
      <c r="D9" s="25" t="s">
        <v>11</v>
      </c>
      <c r="E9" s="21">
        <v>1100</v>
      </c>
      <c r="F9" s="21"/>
      <c r="G9" s="35">
        <v>2468</v>
      </c>
      <c r="H9" s="39"/>
      <c r="I9" s="41">
        <f t="shared" si="0"/>
        <v>3568</v>
      </c>
      <c r="J9" s="28"/>
      <c r="K9" s="28"/>
      <c r="L9" s="5"/>
    </row>
    <row r="10" spans="3:13" ht="21" x14ac:dyDescent="0.25">
      <c r="C10" s="11">
        <v>8</v>
      </c>
      <c r="D10" s="17" t="s">
        <v>78</v>
      </c>
      <c r="E10" s="21">
        <v>1100</v>
      </c>
      <c r="F10" s="30"/>
      <c r="G10" s="35">
        <v>2990</v>
      </c>
      <c r="H10" s="41"/>
      <c r="I10" s="41">
        <f t="shared" si="0"/>
        <v>4090</v>
      </c>
      <c r="J10" s="8"/>
      <c r="K10" s="28"/>
      <c r="L10" s="5"/>
    </row>
    <row r="11" spans="3:13" ht="21" x14ac:dyDescent="0.25">
      <c r="C11" s="11">
        <v>9</v>
      </c>
      <c r="D11" s="17" t="s">
        <v>24</v>
      </c>
      <c r="E11" s="21">
        <v>1100</v>
      </c>
      <c r="F11" s="21"/>
      <c r="G11" s="35">
        <v>2454</v>
      </c>
      <c r="H11" s="39"/>
      <c r="I11" s="41">
        <f t="shared" si="0"/>
        <v>3554</v>
      </c>
      <c r="J11" s="28"/>
      <c r="K11" s="28"/>
      <c r="L11" s="5"/>
    </row>
    <row r="12" spans="3:13" ht="21" x14ac:dyDescent="0.25">
      <c r="C12" s="6">
        <v>10</v>
      </c>
      <c r="D12" s="26" t="s">
        <v>108</v>
      </c>
      <c r="E12" s="33">
        <v>1100</v>
      </c>
      <c r="F12" s="14"/>
      <c r="G12" s="35">
        <v>1852</v>
      </c>
      <c r="H12" s="39"/>
      <c r="I12" s="41">
        <f t="shared" si="0"/>
        <v>2952</v>
      </c>
      <c r="J12" s="28"/>
      <c r="K12" s="28"/>
      <c r="L12" s="5"/>
    </row>
    <row r="13" spans="3:13" ht="21" x14ac:dyDescent="0.25">
      <c r="C13" s="6">
        <v>11</v>
      </c>
      <c r="D13" s="26" t="s">
        <v>109</v>
      </c>
      <c r="E13" s="33">
        <v>1100</v>
      </c>
      <c r="F13" s="14"/>
      <c r="G13" s="35">
        <v>1843</v>
      </c>
      <c r="H13" s="39"/>
      <c r="I13" s="41">
        <f t="shared" si="0"/>
        <v>2943</v>
      </c>
      <c r="J13" s="28"/>
      <c r="K13" s="28"/>
      <c r="L13" s="5"/>
    </row>
    <row r="14" spans="3:13" ht="21" x14ac:dyDescent="0.25">
      <c r="C14" s="11">
        <v>12</v>
      </c>
      <c r="D14" s="26" t="s">
        <v>130</v>
      </c>
      <c r="E14" s="21">
        <v>700</v>
      </c>
      <c r="F14" s="21"/>
      <c r="G14" s="35">
        <v>1547</v>
      </c>
      <c r="H14" s="37"/>
      <c r="I14" s="37">
        <f t="shared" si="0"/>
        <v>2247</v>
      </c>
      <c r="J14" s="28"/>
      <c r="K14" s="37"/>
      <c r="L14" s="64" t="s">
        <v>135</v>
      </c>
      <c r="M14" s="64"/>
    </row>
    <row r="15" spans="3:13" ht="21" x14ac:dyDescent="0.25">
      <c r="C15" s="11">
        <v>13</v>
      </c>
      <c r="D15" s="26" t="s">
        <v>25</v>
      </c>
      <c r="E15" s="21">
        <v>1100</v>
      </c>
      <c r="F15" s="21"/>
      <c r="G15" s="35">
        <v>2454</v>
      </c>
      <c r="H15" s="37"/>
      <c r="I15" s="41">
        <f t="shared" si="0"/>
        <v>3554</v>
      </c>
      <c r="J15" s="28"/>
      <c r="K15" s="28"/>
      <c r="L15" s="5"/>
    </row>
    <row r="16" spans="3:13" ht="21" x14ac:dyDescent="0.25">
      <c r="C16" s="11">
        <v>14</v>
      </c>
      <c r="D16" s="17" t="s">
        <v>115</v>
      </c>
      <c r="E16" s="21">
        <v>0</v>
      </c>
      <c r="F16" s="21"/>
      <c r="G16" s="35">
        <v>655</v>
      </c>
      <c r="H16" s="37"/>
      <c r="I16" s="41">
        <f t="shared" si="0"/>
        <v>655</v>
      </c>
      <c r="J16" s="28"/>
      <c r="K16" s="28"/>
      <c r="L16" s="64" t="s">
        <v>116</v>
      </c>
      <c r="M16" s="64"/>
    </row>
    <row r="17" spans="3:12" ht="21" x14ac:dyDescent="0.25">
      <c r="C17" s="6">
        <v>15</v>
      </c>
      <c r="D17" s="26" t="s">
        <v>117</v>
      </c>
      <c r="E17" s="33">
        <v>1100</v>
      </c>
      <c r="F17" s="14"/>
      <c r="G17" s="35">
        <v>1843</v>
      </c>
      <c r="H17" s="37"/>
      <c r="I17" s="41">
        <f t="shared" si="0"/>
        <v>2943</v>
      </c>
      <c r="J17" s="28"/>
      <c r="K17" s="28"/>
      <c r="L17" s="5"/>
    </row>
    <row r="18" spans="3:12" ht="21" x14ac:dyDescent="0.25">
      <c r="C18" s="6">
        <v>16</v>
      </c>
      <c r="D18" s="17" t="s">
        <v>26</v>
      </c>
      <c r="E18" s="21">
        <v>1100</v>
      </c>
      <c r="F18" s="21"/>
      <c r="G18" s="35">
        <v>2720</v>
      </c>
      <c r="H18" s="37"/>
      <c r="I18" s="41">
        <f t="shared" si="0"/>
        <v>3820</v>
      </c>
      <c r="J18" s="28"/>
      <c r="K18" s="28"/>
      <c r="L18" s="5"/>
    </row>
    <row r="19" spans="3:12" ht="21" x14ac:dyDescent="0.25">
      <c r="C19" s="11">
        <v>17</v>
      </c>
      <c r="D19" s="43" t="s">
        <v>80</v>
      </c>
      <c r="E19" s="21">
        <v>1100</v>
      </c>
      <c r="F19" s="36"/>
      <c r="G19" s="35">
        <v>2743</v>
      </c>
      <c r="H19" s="37"/>
      <c r="I19" s="41">
        <f t="shared" si="0"/>
        <v>3843</v>
      </c>
      <c r="J19" s="36"/>
      <c r="K19" s="28"/>
      <c r="L19" s="5"/>
    </row>
    <row r="20" spans="3:12" ht="21" x14ac:dyDescent="0.25">
      <c r="C20" s="11">
        <v>18</v>
      </c>
      <c r="D20" s="26" t="s">
        <v>118</v>
      </c>
      <c r="E20" s="33">
        <v>1100</v>
      </c>
      <c r="F20" s="14"/>
      <c r="G20" s="35">
        <v>1843</v>
      </c>
      <c r="H20" s="37"/>
      <c r="I20" s="41">
        <f t="shared" si="0"/>
        <v>2943</v>
      </c>
      <c r="J20" s="28"/>
      <c r="K20" s="28"/>
      <c r="L20" s="5"/>
    </row>
    <row r="21" spans="3:12" ht="21" x14ac:dyDescent="0.25">
      <c r="C21" s="11">
        <v>19</v>
      </c>
      <c r="D21" s="25" t="s">
        <v>27</v>
      </c>
      <c r="E21" s="21">
        <v>1100</v>
      </c>
      <c r="F21" s="21"/>
      <c r="G21" s="35">
        <v>3232</v>
      </c>
      <c r="H21" s="37"/>
      <c r="I21" s="41">
        <f t="shared" si="0"/>
        <v>4332</v>
      </c>
      <c r="J21" s="28"/>
      <c r="K21" s="28"/>
      <c r="L21" s="5"/>
    </row>
    <row r="22" spans="3:12" ht="21" x14ac:dyDescent="0.25">
      <c r="C22" s="6">
        <v>20</v>
      </c>
      <c r="D22" s="26" t="s">
        <v>55</v>
      </c>
      <c r="E22" s="33">
        <v>1100</v>
      </c>
      <c r="F22" s="14"/>
      <c r="G22" s="35">
        <v>2939</v>
      </c>
      <c r="H22" s="37"/>
      <c r="I22" s="41">
        <f t="shared" si="0"/>
        <v>4039</v>
      </c>
      <c r="J22" s="28"/>
      <c r="K22" s="28"/>
      <c r="L22" s="5"/>
    </row>
    <row r="23" spans="3:12" ht="21" x14ac:dyDescent="0.25">
      <c r="C23" s="6">
        <v>21</v>
      </c>
      <c r="D23" s="17" t="s">
        <v>92</v>
      </c>
      <c r="E23" s="21">
        <v>1100</v>
      </c>
      <c r="F23" s="30"/>
      <c r="G23" s="35">
        <v>1853</v>
      </c>
      <c r="H23" s="41"/>
      <c r="I23" s="41">
        <f t="shared" si="0"/>
        <v>2953</v>
      </c>
      <c r="J23" s="8"/>
      <c r="K23" s="28"/>
      <c r="L23" s="5"/>
    </row>
    <row r="24" spans="3:12" ht="21" x14ac:dyDescent="0.25">
      <c r="C24" s="11">
        <v>22</v>
      </c>
      <c r="D24" s="26" t="s">
        <v>119</v>
      </c>
      <c r="E24" s="33">
        <v>1100</v>
      </c>
      <c r="F24" s="14"/>
      <c r="G24" s="35">
        <v>1843</v>
      </c>
      <c r="H24" s="37"/>
      <c r="I24" s="41">
        <f t="shared" si="0"/>
        <v>2943</v>
      </c>
      <c r="J24" s="28"/>
      <c r="K24" s="28"/>
      <c r="L24" s="5"/>
    </row>
    <row r="25" spans="3:12" ht="21" x14ac:dyDescent="0.25">
      <c r="C25" s="11">
        <v>23</v>
      </c>
      <c r="D25" s="18" t="s">
        <v>110</v>
      </c>
      <c r="E25" s="33">
        <v>1100</v>
      </c>
      <c r="F25" s="14"/>
      <c r="G25" s="71">
        <v>3326</v>
      </c>
      <c r="H25" s="39"/>
      <c r="I25" s="39">
        <f t="shared" si="0"/>
        <v>4426</v>
      </c>
      <c r="J25" s="28"/>
      <c r="K25" s="28"/>
      <c r="L25" s="5"/>
    </row>
    <row r="26" spans="3:12" ht="21" x14ac:dyDescent="0.25">
      <c r="C26" s="11">
        <v>24</v>
      </c>
      <c r="D26" s="16" t="s">
        <v>3</v>
      </c>
      <c r="E26" s="34">
        <v>1360</v>
      </c>
      <c r="F26" s="7"/>
      <c r="G26" s="54">
        <v>2087</v>
      </c>
      <c r="H26" s="37">
        <f>I26-G26-E26</f>
        <v>720</v>
      </c>
      <c r="I26" s="37">
        <v>4167</v>
      </c>
      <c r="J26" s="28"/>
      <c r="K26" s="28"/>
      <c r="L26" s="5"/>
    </row>
    <row r="27" spans="3:12" ht="21" x14ac:dyDescent="0.25">
      <c r="C27" s="6">
        <v>25</v>
      </c>
      <c r="D27" s="25" t="s">
        <v>12</v>
      </c>
      <c r="E27" s="21">
        <v>1100</v>
      </c>
      <c r="F27" s="21"/>
      <c r="G27" s="35">
        <v>2468</v>
      </c>
      <c r="H27" s="37"/>
      <c r="I27" s="41">
        <f t="shared" ref="I27:I34" si="1">SUM(E27:H27)</f>
        <v>3568</v>
      </c>
      <c r="J27" s="28"/>
      <c r="K27" s="41"/>
      <c r="L27" s="5"/>
    </row>
    <row r="28" spans="3:12" ht="21" x14ac:dyDescent="0.25">
      <c r="C28" s="6">
        <v>26</v>
      </c>
      <c r="D28" s="17" t="s">
        <v>28</v>
      </c>
      <c r="E28" s="21">
        <v>1100</v>
      </c>
      <c r="F28" s="21"/>
      <c r="G28" s="35">
        <v>3145</v>
      </c>
      <c r="H28" s="37"/>
      <c r="I28" s="41">
        <f t="shared" si="1"/>
        <v>4245</v>
      </c>
      <c r="J28" s="28"/>
      <c r="K28" s="37"/>
      <c r="L28" s="5"/>
    </row>
    <row r="29" spans="3:12" ht="21" x14ac:dyDescent="0.25">
      <c r="C29" s="11">
        <v>27</v>
      </c>
      <c r="D29" s="26" t="s">
        <v>29</v>
      </c>
      <c r="E29" s="21">
        <v>1100</v>
      </c>
      <c r="F29" s="21"/>
      <c r="G29" s="35">
        <v>2982</v>
      </c>
      <c r="H29" s="37"/>
      <c r="I29" s="41">
        <f t="shared" si="1"/>
        <v>4082</v>
      </c>
      <c r="J29" s="28"/>
      <c r="K29" s="37"/>
      <c r="L29" s="5"/>
    </row>
    <row r="30" spans="3:12" ht="21" x14ac:dyDescent="0.25">
      <c r="C30" s="11">
        <v>28</v>
      </c>
      <c r="D30" s="17" t="s">
        <v>30</v>
      </c>
      <c r="E30" s="21">
        <v>1100</v>
      </c>
      <c r="F30" s="21"/>
      <c r="G30" s="35">
        <v>2709</v>
      </c>
      <c r="H30" s="37"/>
      <c r="I30" s="41">
        <f t="shared" si="1"/>
        <v>3809</v>
      </c>
      <c r="J30" s="28"/>
      <c r="K30" s="37"/>
      <c r="L30" s="5"/>
    </row>
    <row r="31" spans="3:12" ht="21" x14ac:dyDescent="0.25">
      <c r="C31" s="11">
        <v>29</v>
      </c>
      <c r="D31" s="25" t="s">
        <v>15</v>
      </c>
      <c r="E31" s="21">
        <v>1100</v>
      </c>
      <c r="F31" s="21"/>
      <c r="G31" s="35">
        <v>2459</v>
      </c>
      <c r="H31" s="37"/>
      <c r="I31" s="41">
        <f t="shared" si="1"/>
        <v>3559</v>
      </c>
      <c r="J31" s="28"/>
      <c r="K31" s="37"/>
      <c r="L31" s="5"/>
    </row>
    <row r="32" spans="3:12" ht="21" x14ac:dyDescent="0.25">
      <c r="C32" s="6">
        <v>30</v>
      </c>
      <c r="D32" s="26" t="s">
        <v>56</v>
      </c>
      <c r="E32" s="33">
        <v>1100</v>
      </c>
      <c r="F32" s="14"/>
      <c r="G32" s="35">
        <v>2468</v>
      </c>
      <c r="H32" s="37"/>
      <c r="I32" s="41">
        <f t="shared" si="1"/>
        <v>3568</v>
      </c>
      <c r="J32" s="28"/>
      <c r="K32" s="37"/>
      <c r="L32" s="5"/>
    </row>
    <row r="33" spans="3:13" ht="21" x14ac:dyDescent="0.25">
      <c r="C33" s="6">
        <v>31</v>
      </c>
      <c r="D33" s="84" t="s">
        <v>95</v>
      </c>
      <c r="E33" s="21">
        <v>1100</v>
      </c>
      <c r="F33" s="21"/>
      <c r="G33" s="35">
        <v>2709</v>
      </c>
      <c r="H33" s="37"/>
      <c r="I33" s="41">
        <f t="shared" si="1"/>
        <v>3809</v>
      </c>
      <c r="J33" s="28"/>
      <c r="K33" s="37"/>
      <c r="L33" s="5"/>
    </row>
    <row r="34" spans="3:13" ht="21" x14ac:dyDescent="0.25">
      <c r="C34" s="11">
        <v>32</v>
      </c>
      <c r="D34" s="17" t="s">
        <v>31</v>
      </c>
      <c r="E34" s="21">
        <v>1100</v>
      </c>
      <c r="F34" s="21"/>
      <c r="G34" s="35">
        <v>2454</v>
      </c>
      <c r="H34" s="37"/>
      <c r="I34" s="41">
        <f t="shared" si="1"/>
        <v>3554</v>
      </c>
      <c r="J34" s="28"/>
      <c r="K34" s="37"/>
      <c r="L34" s="5"/>
    </row>
    <row r="35" spans="3:13" ht="21" x14ac:dyDescent="0.25">
      <c r="C35" s="11">
        <v>33</v>
      </c>
      <c r="D35" s="16" t="s">
        <v>98</v>
      </c>
      <c r="E35" s="34">
        <v>1800</v>
      </c>
      <c r="F35" s="7"/>
      <c r="G35" s="54">
        <v>2572</v>
      </c>
      <c r="H35" s="37">
        <f>I35-G35-E35</f>
        <v>640</v>
      </c>
      <c r="I35" s="37">
        <v>5012</v>
      </c>
      <c r="J35" s="28"/>
      <c r="K35" s="37"/>
      <c r="L35" s="5"/>
    </row>
    <row r="36" spans="3:13" ht="21" x14ac:dyDescent="0.25">
      <c r="C36" s="11">
        <v>34</v>
      </c>
      <c r="D36" s="17" t="s">
        <v>67</v>
      </c>
      <c r="E36" s="21">
        <v>0</v>
      </c>
      <c r="F36" s="21"/>
      <c r="G36" s="35">
        <v>1427</v>
      </c>
      <c r="H36" s="37"/>
      <c r="I36" s="37">
        <f t="shared" ref="I36:I56" si="2">SUM(E36:H36)</f>
        <v>1427</v>
      </c>
      <c r="J36" s="28"/>
      <c r="K36" s="37"/>
      <c r="L36" s="5"/>
    </row>
    <row r="37" spans="3:13" ht="21" x14ac:dyDescent="0.25">
      <c r="C37" s="6">
        <v>35</v>
      </c>
      <c r="D37" s="85" t="s">
        <v>60</v>
      </c>
      <c r="E37" s="21">
        <v>1100</v>
      </c>
      <c r="F37" s="21"/>
      <c r="G37" s="35">
        <v>2459</v>
      </c>
      <c r="H37" s="37"/>
      <c r="I37" s="41">
        <f t="shared" si="2"/>
        <v>3559</v>
      </c>
      <c r="J37" s="28"/>
      <c r="K37" s="37"/>
      <c r="L37" s="5"/>
    </row>
    <row r="38" spans="3:13" ht="21" x14ac:dyDescent="0.25">
      <c r="C38" s="6">
        <v>36</v>
      </c>
      <c r="D38" s="26" t="s">
        <v>57</v>
      </c>
      <c r="E38" s="33">
        <v>1100</v>
      </c>
      <c r="F38" s="14"/>
      <c r="G38" s="35">
        <v>2463</v>
      </c>
      <c r="H38" s="37"/>
      <c r="I38" s="41">
        <f t="shared" si="2"/>
        <v>3563</v>
      </c>
      <c r="J38" s="28"/>
      <c r="K38" s="77"/>
      <c r="L38" s="5"/>
    </row>
    <row r="39" spans="3:13" ht="21" x14ac:dyDescent="0.25">
      <c r="C39" s="11">
        <v>37</v>
      </c>
      <c r="D39" s="25" t="s">
        <v>120</v>
      </c>
      <c r="E39" s="21">
        <v>1100</v>
      </c>
      <c r="F39" s="21"/>
      <c r="G39" s="35">
        <v>1968</v>
      </c>
      <c r="H39" s="37"/>
      <c r="I39" s="41">
        <f t="shared" si="2"/>
        <v>3068</v>
      </c>
      <c r="J39" s="28"/>
      <c r="K39" s="77"/>
      <c r="L39" s="5"/>
    </row>
    <row r="40" spans="3:13" ht="21" x14ac:dyDescent="0.25">
      <c r="C40" s="11">
        <v>38</v>
      </c>
      <c r="D40" s="83" t="s">
        <v>32</v>
      </c>
      <c r="E40" s="86">
        <v>1100</v>
      </c>
      <c r="F40" s="86"/>
      <c r="G40" s="87">
        <v>2468</v>
      </c>
      <c r="H40" s="88"/>
      <c r="I40" s="89">
        <f t="shared" si="2"/>
        <v>3568</v>
      </c>
      <c r="J40" s="28"/>
      <c r="K40" s="77"/>
      <c r="L40" s="5"/>
    </row>
    <row r="41" spans="3:13" ht="21" x14ac:dyDescent="0.25">
      <c r="C41" s="11">
        <v>39</v>
      </c>
      <c r="D41" s="43" t="s">
        <v>81</v>
      </c>
      <c r="E41" s="21">
        <v>1100</v>
      </c>
      <c r="F41" s="36"/>
      <c r="G41" s="35">
        <v>2481</v>
      </c>
      <c r="H41" s="37"/>
      <c r="I41" s="41">
        <f t="shared" si="2"/>
        <v>3581</v>
      </c>
      <c r="J41" s="36"/>
      <c r="K41" s="77"/>
      <c r="L41" s="5"/>
    </row>
    <row r="42" spans="3:13" ht="21" x14ac:dyDescent="0.25">
      <c r="C42" s="6">
        <v>40</v>
      </c>
      <c r="D42" s="45" t="s">
        <v>69</v>
      </c>
      <c r="E42" s="21">
        <v>1100</v>
      </c>
      <c r="F42" s="21"/>
      <c r="G42" s="35">
        <v>2709</v>
      </c>
      <c r="H42" s="37"/>
      <c r="I42" s="41">
        <f t="shared" si="2"/>
        <v>3809</v>
      </c>
      <c r="J42" s="28"/>
      <c r="K42" s="77"/>
      <c r="L42" s="5"/>
    </row>
    <row r="43" spans="3:13" ht="21" x14ac:dyDescent="0.25">
      <c r="C43" s="6">
        <v>41</v>
      </c>
      <c r="D43" s="43" t="s">
        <v>82</v>
      </c>
      <c r="E43" s="21">
        <v>1100</v>
      </c>
      <c r="F43" s="36"/>
      <c r="G43" s="35">
        <v>2749</v>
      </c>
      <c r="H43" s="37"/>
      <c r="I43" s="41">
        <f t="shared" si="2"/>
        <v>3849</v>
      </c>
      <c r="J43" s="36"/>
      <c r="K43" s="77"/>
      <c r="L43" s="5"/>
    </row>
    <row r="44" spans="3:13" ht="21" x14ac:dyDescent="0.25">
      <c r="C44" s="11">
        <v>42</v>
      </c>
      <c r="D44" s="26" t="s">
        <v>8</v>
      </c>
      <c r="E44" s="21">
        <v>500</v>
      </c>
      <c r="F44" s="21"/>
      <c r="G44" s="35">
        <v>1923</v>
      </c>
      <c r="H44" s="37"/>
      <c r="I44" s="41">
        <f t="shared" si="2"/>
        <v>2423</v>
      </c>
      <c r="J44" s="28"/>
      <c r="K44" s="77"/>
      <c r="L44" s="64" t="s">
        <v>135</v>
      </c>
      <c r="M44" s="64"/>
    </row>
    <row r="45" spans="3:13" ht="21" x14ac:dyDescent="0.25">
      <c r="C45" s="11">
        <v>43</v>
      </c>
      <c r="D45" s="26" t="s">
        <v>61</v>
      </c>
      <c r="E45" s="21">
        <v>1100</v>
      </c>
      <c r="F45" s="21"/>
      <c r="G45" s="35">
        <v>2982</v>
      </c>
      <c r="H45" s="37"/>
      <c r="I45" s="41">
        <f t="shared" si="2"/>
        <v>4082</v>
      </c>
      <c r="J45" s="28"/>
      <c r="K45" s="37"/>
      <c r="L45" s="5"/>
    </row>
    <row r="46" spans="3:13" ht="21" x14ac:dyDescent="0.25">
      <c r="C46" s="11">
        <v>44</v>
      </c>
      <c r="D46" s="26" t="s">
        <v>106</v>
      </c>
      <c r="E46" s="21">
        <v>1100</v>
      </c>
      <c r="F46" s="21"/>
      <c r="G46" s="35">
        <v>1948</v>
      </c>
      <c r="H46" s="37"/>
      <c r="I46" s="41">
        <f t="shared" si="2"/>
        <v>3048</v>
      </c>
      <c r="J46" s="28"/>
      <c r="K46" s="37"/>
      <c r="L46" s="5"/>
    </row>
    <row r="47" spans="3:13" ht="21" x14ac:dyDescent="0.25">
      <c r="C47" s="6">
        <v>45</v>
      </c>
      <c r="D47" s="43" t="s">
        <v>83</v>
      </c>
      <c r="E47" s="21">
        <v>1100</v>
      </c>
      <c r="F47" s="36"/>
      <c r="G47" s="35">
        <v>2481</v>
      </c>
      <c r="H47" s="37"/>
      <c r="I47" s="41">
        <f t="shared" si="2"/>
        <v>3581</v>
      </c>
      <c r="J47" s="36"/>
      <c r="K47" s="37"/>
      <c r="L47" s="5"/>
    </row>
    <row r="48" spans="3:13" ht="21" x14ac:dyDescent="0.25">
      <c r="C48" s="6">
        <v>46</v>
      </c>
      <c r="D48" s="45" t="s">
        <v>70</v>
      </c>
      <c r="E48" s="21">
        <v>1100</v>
      </c>
      <c r="F48" s="21"/>
      <c r="G48" s="35">
        <v>2709</v>
      </c>
      <c r="H48" s="37"/>
      <c r="I48" s="41">
        <f t="shared" si="2"/>
        <v>3809</v>
      </c>
      <c r="J48" s="28"/>
      <c r="K48" s="37"/>
      <c r="L48" s="5"/>
    </row>
    <row r="49" spans="3:12" ht="21" x14ac:dyDescent="0.25">
      <c r="C49" s="11">
        <v>47</v>
      </c>
      <c r="D49" s="17" t="s">
        <v>33</v>
      </c>
      <c r="E49" s="21">
        <v>1100</v>
      </c>
      <c r="F49" s="21"/>
      <c r="G49" s="35">
        <v>2463</v>
      </c>
      <c r="H49" s="37"/>
      <c r="I49" s="41">
        <f t="shared" si="2"/>
        <v>3563</v>
      </c>
      <c r="J49" s="28"/>
      <c r="K49" s="37"/>
      <c r="L49" s="5"/>
    </row>
    <row r="50" spans="3:12" ht="21" x14ac:dyDescent="0.25">
      <c r="C50" s="11">
        <v>48</v>
      </c>
      <c r="D50" s="17" t="s">
        <v>93</v>
      </c>
      <c r="E50" s="21">
        <v>1100</v>
      </c>
      <c r="F50" s="30"/>
      <c r="G50" s="35">
        <v>2740</v>
      </c>
      <c r="H50" s="37"/>
      <c r="I50" s="41">
        <f t="shared" si="2"/>
        <v>3840</v>
      </c>
      <c r="J50" s="8"/>
      <c r="K50" s="37"/>
      <c r="L50" s="5"/>
    </row>
    <row r="51" spans="3:12" ht="21" x14ac:dyDescent="0.25">
      <c r="C51" s="11">
        <v>49</v>
      </c>
      <c r="D51" s="17" t="s">
        <v>79</v>
      </c>
      <c r="E51" s="21">
        <v>1100</v>
      </c>
      <c r="F51" s="30"/>
      <c r="G51" s="35">
        <v>3009</v>
      </c>
      <c r="H51" s="37"/>
      <c r="I51" s="41">
        <f t="shared" si="2"/>
        <v>4109</v>
      </c>
      <c r="J51" s="8"/>
      <c r="K51" s="37"/>
      <c r="L51" s="5"/>
    </row>
    <row r="52" spans="3:12" ht="21" x14ac:dyDescent="0.25">
      <c r="C52" s="6">
        <v>50</v>
      </c>
      <c r="D52" s="17" t="s">
        <v>68</v>
      </c>
      <c r="E52" s="21">
        <v>1100</v>
      </c>
      <c r="F52" s="21"/>
      <c r="G52" s="35">
        <v>2463</v>
      </c>
      <c r="H52" s="37"/>
      <c r="I52" s="41">
        <f t="shared" si="2"/>
        <v>3563</v>
      </c>
      <c r="J52" s="28"/>
      <c r="K52" s="37"/>
      <c r="L52" s="5"/>
    </row>
    <row r="53" spans="3:12" ht="21" x14ac:dyDescent="0.25">
      <c r="C53" s="6">
        <v>51</v>
      </c>
      <c r="D53" s="45" t="s">
        <v>71</v>
      </c>
      <c r="E53" s="21">
        <v>1100</v>
      </c>
      <c r="F53" s="21"/>
      <c r="G53" s="35">
        <v>2474</v>
      </c>
      <c r="H53" s="37"/>
      <c r="I53" s="41">
        <f t="shared" si="2"/>
        <v>3574</v>
      </c>
      <c r="J53" s="28"/>
      <c r="K53" s="37"/>
      <c r="L53" s="5"/>
    </row>
    <row r="54" spans="3:12" ht="21" x14ac:dyDescent="0.25">
      <c r="C54" s="11">
        <v>52</v>
      </c>
      <c r="D54" s="43" t="s">
        <v>84</v>
      </c>
      <c r="E54" s="21">
        <v>1100</v>
      </c>
      <c r="F54" s="36"/>
      <c r="G54" s="35">
        <v>3249</v>
      </c>
      <c r="H54" s="37"/>
      <c r="I54" s="41">
        <f t="shared" si="2"/>
        <v>4349</v>
      </c>
      <c r="J54" s="36"/>
      <c r="K54" s="37"/>
      <c r="L54" s="5"/>
    </row>
    <row r="55" spans="3:12" ht="21" x14ac:dyDescent="0.25">
      <c r="C55" s="11">
        <v>53</v>
      </c>
      <c r="D55" s="25" t="s">
        <v>101</v>
      </c>
      <c r="E55" s="21">
        <v>1100</v>
      </c>
      <c r="F55" s="21"/>
      <c r="G55" s="35">
        <v>3356</v>
      </c>
      <c r="H55" s="37"/>
      <c r="I55" s="37">
        <f t="shared" si="2"/>
        <v>4456</v>
      </c>
      <c r="J55" s="28"/>
      <c r="K55" s="37"/>
      <c r="L55" s="5"/>
    </row>
    <row r="56" spans="3:12" ht="21" x14ac:dyDescent="0.25">
      <c r="C56" s="11">
        <v>54</v>
      </c>
      <c r="D56" s="17" t="s">
        <v>122</v>
      </c>
      <c r="E56" s="21">
        <v>1100</v>
      </c>
      <c r="F56" s="21"/>
      <c r="G56" s="35">
        <v>1948</v>
      </c>
      <c r="H56" s="37"/>
      <c r="I56" s="41">
        <f t="shared" si="2"/>
        <v>3048</v>
      </c>
      <c r="J56" s="28"/>
      <c r="K56" s="37"/>
      <c r="L56" s="5"/>
    </row>
    <row r="57" spans="3:12" ht="21" x14ac:dyDescent="0.25">
      <c r="C57" s="6">
        <v>55</v>
      </c>
      <c r="D57" s="58" t="s">
        <v>6</v>
      </c>
      <c r="E57" s="21">
        <v>1100</v>
      </c>
      <c r="F57" s="21"/>
      <c r="G57" s="35">
        <v>2371</v>
      </c>
      <c r="H57" s="37">
        <f>I57-G57-E57</f>
        <v>680</v>
      </c>
      <c r="I57" s="37">
        <v>4151</v>
      </c>
      <c r="J57" s="28"/>
      <c r="K57" s="37"/>
      <c r="L57" s="5"/>
    </row>
    <row r="58" spans="3:12" ht="21" x14ac:dyDescent="0.25">
      <c r="C58" s="6">
        <v>56</v>
      </c>
      <c r="D58" s="58" t="s">
        <v>34</v>
      </c>
      <c r="E58" s="21">
        <v>1100</v>
      </c>
      <c r="F58" s="21"/>
      <c r="G58" s="35">
        <v>3060</v>
      </c>
      <c r="H58" s="37"/>
      <c r="I58" s="37">
        <f>SUM(E58:H58)</f>
        <v>4160</v>
      </c>
      <c r="J58" s="28"/>
      <c r="K58" s="37"/>
      <c r="L58" s="5"/>
    </row>
    <row r="59" spans="3:12" ht="21" x14ac:dyDescent="0.25">
      <c r="C59" s="11">
        <v>57</v>
      </c>
      <c r="D59" s="45" t="s">
        <v>72</v>
      </c>
      <c r="E59" s="21">
        <v>1100</v>
      </c>
      <c r="F59" s="21"/>
      <c r="G59" s="35">
        <v>2454</v>
      </c>
      <c r="H59" s="37"/>
      <c r="I59" s="41">
        <f>SUM(E59:H59)</f>
        <v>3554</v>
      </c>
      <c r="J59" s="28"/>
      <c r="K59" s="41"/>
      <c r="L59" s="5"/>
    </row>
    <row r="60" spans="3:12" ht="21" x14ac:dyDescent="0.25">
      <c r="C60" s="11">
        <v>58</v>
      </c>
      <c r="D60" s="16" t="s">
        <v>4</v>
      </c>
      <c r="E60" s="34">
        <v>0</v>
      </c>
      <c r="F60" s="7"/>
      <c r="G60" s="54">
        <v>0</v>
      </c>
      <c r="H60" s="37"/>
      <c r="I60" s="37">
        <v>0</v>
      </c>
      <c r="J60" s="28"/>
      <c r="K60" s="37"/>
      <c r="L60" s="65" t="s">
        <v>121</v>
      </c>
    </row>
    <row r="61" spans="3:12" ht="21" x14ac:dyDescent="0.25">
      <c r="C61" s="11">
        <v>59</v>
      </c>
      <c r="D61" s="17" t="s">
        <v>105</v>
      </c>
      <c r="E61" s="21">
        <v>1100</v>
      </c>
      <c r="F61" s="21"/>
      <c r="G61" s="35">
        <v>1948</v>
      </c>
      <c r="H61" s="37"/>
      <c r="I61" s="37">
        <f t="shared" ref="I61:I66" si="3">SUM(E61:H61)</f>
        <v>3048</v>
      </c>
      <c r="J61" s="31"/>
      <c r="K61" s="78"/>
      <c r="L61" s="5"/>
    </row>
    <row r="62" spans="3:12" ht="21" x14ac:dyDescent="0.25">
      <c r="C62" s="6">
        <v>60</v>
      </c>
      <c r="D62" s="25" t="s">
        <v>35</v>
      </c>
      <c r="E62" s="21">
        <v>1100</v>
      </c>
      <c r="F62" s="21"/>
      <c r="G62" s="35">
        <v>3232</v>
      </c>
      <c r="H62" s="37"/>
      <c r="I62" s="37">
        <f t="shared" si="3"/>
        <v>4332</v>
      </c>
      <c r="J62" s="28"/>
      <c r="K62" s="78"/>
      <c r="L62" s="5"/>
    </row>
    <row r="63" spans="3:12" ht="21" x14ac:dyDescent="0.25">
      <c r="C63" s="6">
        <v>61</v>
      </c>
      <c r="D63" s="26" t="s">
        <v>36</v>
      </c>
      <c r="E63" s="21">
        <v>1100</v>
      </c>
      <c r="F63" s="21"/>
      <c r="G63" s="35">
        <v>2732</v>
      </c>
      <c r="H63" s="37"/>
      <c r="I63" s="41">
        <f t="shared" si="3"/>
        <v>3832</v>
      </c>
      <c r="J63" s="28"/>
      <c r="K63" s="78"/>
      <c r="L63" s="5"/>
    </row>
    <row r="64" spans="3:12" ht="21" x14ac:dyDescent="0.25">
      <c r="C64" s="11">
        <v>62</v>
      </c>
      <c r="D64" s="43" t="s">
        <v>85</v>
      </c>
      <c r="E64" s="21">
        <v>1100</v>
      </c>
      <c r="F64" s="36"/>
      <c r="G64" s="35">
        <v>2471</v>
      </c>
      <c r="H64" s="37"/>
      <c r="I64" s="41">
        <f t="shared" si="3"/>
        <v>3571</v>
      </c>
      <c r="J64" s="36"/>
      <c r="K64" s="78"/>
      <c r="L64" s="5"/>
    </row>
    <row r="65" spans="3:12" ht="21" x14ac:dyDescent="0.25">
      <c r="C65" s="11">
        <v>63</v>
      </c>
      <c r="D65" s="26" t="s">
        <v>37</v>
      </c>
      <c r="E65" s="21">
        <v>1100</v>
      </c>
      <c r="F65" s="21"/>
      <c r="G65" s="35">
        <v>2463</v>
      </c>
      <c r="H65" s="37"/>
      <c r="I65" s="41">
        <f t="shared" si="3"/>
        <v>3563</v>
      </c>
      <c r="J65" s="28"/>
      <c r="K65" s="78"/>
      <c r="L65" s="5"/>
    </row>
    <row r="66" spans="3:12" ht="21" x14ac:dyDescent="0.25">
      <c r="C66" s="11">
        <v>64</v>
      </c>
      <c r="D66" s="46" t="s">
        <v>9</v>
      </c>
      <c r="E66" s="21">
        <v>1100</v>
      </c>
      <c r="F66" s="21"/>
      <c r="G66" s="35">
        <v>2727</v>
      </c>
      <c r="H66" s="37"/>
      <c r="I66" s="41">
        <f t="shared" si="3"/>
        <v>3827</v>
      </c>
      <c r="J66" s="28"/>
      <c r="K66" s="78"/>
      <c r="L66" s="5"/>
    </row>
    <row r="67" spans="3:12" ht="21" x14ac:dyDescent="0.25">
      <c r="C67" s="6">
        <v>65</v>
      </c>
      <c r="D67" s="16" t="s">
        <v>16</v>
      </c>
      <c r="E67" s="21">
        <v>1100</v>
      </c>
      <c r="F67" s="7"/>
      <c r="G67" s="54">
        <v>4592</v>
      </c>
      <c r="H67" s="37">
        <f>I67-G67-E67</f>
        <v>920</v>
      </c>
      <c r="I67" s="37">
        <v>6612</v>
      </c>
      <c r="J67" s="28"/>
      <c r="K67" s="78"/>
      <c r="L67" s="5"/>
    </row>
    <row r="68" spans="3:12" ht="21" x14ac:dyDescent="0.25">
      <c r="C68" s="6">
        <v>66</v>
      </c>
      <c r="D68" s="18" t="s">
        <v>38</v>
      </c>
      <c r="E68" s="21">
        <v>1100</v>
      </c>
      <c r="F68" s="21"/>
      <c r="G68" s="35">
        <v>3059</v>
      </c>
      <c r="H68" s="37"/>
      <c r="I68" s="37">
        <f>SUM(E68:H68)</f>
        <v>4159</v>
      </c>
      <c r="J68" s="28"/>
      <c r="K68" s="78"/>
      <c r="L68" s="5"/>
    </row>
    <row r="69" spans="3:12" ht="21" x14ac:dyDescent="0.25">
      <c r="C69" s="11">
        <v>67</v>
      </c>
      <c r="D69" s="17" t="s">
        <v>39</v>
      </c>
      <c r="E69" s="21">
        <v>1100</v>
      </c>
      <c r="F69" s="21"/>
      <c r="G69" s="35">
        <v>2664</v>
      </c>
      <c r="H69" s="37"/>
      <c r="I69" s="37">
        <f>SUM(E69:H69)</f>
        <v>3764</v>
      </c>
      <c r="J69" s="28"/>
      <c r="K69" s="78"/>
      <c r="L69" s="59" t="s">
        <v>96</v>
      </c>
    </row>
    <row r="70" spans="3:12" ht="21" x14ac:dyDescent="0.25">
      <c r="C70" s="11">
        <v>68</v>
      </c>
      <c r="D70" s="18" t="s">
        <v>40</v>
      </c>
      <c r="E70" s="21">
        <v>1100</v>
      </c>
      <c r="F70" s="21"/>
      <c r="G70" s="35">
        <v>3059</v>
      </c>
      <c r="H70" s="37"/>
      <c r="I70" s="37">
        <f>SUM(E70:H70)</f>
        <v>4159</v>
      </c>
      <c r="J70" s="28"/>
      <c r="K70" s="78"/>
      <c r="L70" s="5"/>
    </row>
    <row r="71" spans="3:12" ht="21" x14ac:dyDescent="0.25">
      <c r="C71" s="11">
        <v>69</v>
      </c>
      <c r="D71" s="17" t="s">
        <v>111</v>
      </c>
      <c r="E71" s="21">
        <v>1100</v>
      </c>
      <c r="F71" s="21"/>
      <c r="G71" s="35">
        <v>5551</v>
      </c>
      <c r="H71" s="37">
        <f>I71-G71-E71</f>
        <v>920</v>
      </c>
      <c r="I71" s="37">
        <v>7571</v>
      </c>
      <c r="J71" s="28"/>
      <c r="K71" s="37"/>
      <c r="L71" s="5"/>
    </row>
    <row r="72" spans="3:12" ht="21" x14ac:dyDescent="0.25">
      <c r="C72" s="6">
        <v>70</v>
      </c>
      <c r="D72" s="76" t="s">
        <v>112</v>
      </c>
      <c r="E72" s="30">
        <v>0</v>
      </c>
      <c r="F72" s="30"/>
      <c r="G72" s="41">
        <v>723</v>
      </c>
      <c r="H72" s="41"/>
      <c r="I72" s="41">
        <f t="shared" ref="I72:I102" si="4">SUM(E72:H72)</f>
        <v>723</v>
      </c>
      <c r="J72" s="9"/>
      <c r="K72" s="37"/>
      <c r="L72" s="60" t="s">
        <v>116</v>
      </c>
    </row>
    <row r="73" spans="3:12" ht="21" x14ac:dyDescent="0.25">
      <c r="C73" s="6">
        <v>71</v>
      </c>
      <c r="D73" s="26" t="s">
        <v>41</v>
      </c>
      <c r="E73" s="21">
        <v>1100</v>
      </c>
      <c r="F73" s="21"/>
      <c r="G73" s="35">
        <v>2459</v>
      </c>
      <c r="H73" s="37"/>
      <c r="I73" s="41">
        <f t="shared" si="4"/>
        <v>3559</v>
      </c>
      <c r="J73" s="28"/>
      <c r="K73" s="9"/>
      <c r="L73" s="5"/>
    </row>
    <row r="74" spans="3:12" ht="21" x14ac:dyDescent="0.25">
      <c r="C74" s="11">
        <v>72</v>
      </c>
      <c r="D74" s="17" t="s">
        <v>17</v>
      </c>
      <c r="E74" s="21">
        <v>1100</v>
      </c>
      <c r="F74" s="21"/>
      <c r="G74" s="35">
        <v>3325</v>
      </c>
      <c r="H74" s="37"/>
      <c r="I74" s="41">
        <f t="shared" si="4"/>
        <v>4425</v>
      </c>
      <c r="J74" s="28"/>
      <c r="K74" s="37"/>
      <c r="L74" s="5"/>
    </row>
    <row r="75" spans="3:12" ht="21" x14ac:dyDescent="0.25">
      <c r="C75" s="11">
        <v>73</v>
      </c>
      <c r="D75" s="18" t="s">
        <v>42</v>
      </c>
      <c r="E75" s="9">
        <v>1100</v>
      </c>
      <c r="F75" s="30"/>
      <c r="G75" s="35">
        <v>2709</v>
      </c>
      <c r="H75" s="37"/>
      <c r="I75" s="41">
        <f t="shared" si="4"/>
        <v>3809</v>
      </c>
      <c r="J75" s="31"/>
      <c r="K75" s="37"/>
      <c r="L75" s="5"/>
    </row>
    <row r="76" spans="3:12" ht="21" x14ac:dyDescent="0.25">
      <c r="C76" s="11">
        <v>74</v>
      </c>
      <c r="D76" s="25" t="s">
        <v>43</v>
      </c>
      <c r="E76" s="21">
        <v>1100</v>
      </c>
      <c r="F76" s="21"/>
      <c r="G76" s="35">
        <v>3319</v>
      </c>
      <c r="H76" s="37"/>
      <c r="I76" s="41">
        <f t="shared" si="4"/>
        <v>4419</v>
      </c>
      <c r="J76" s="28"/>
      <c r="K76" s="41"/>
      <c r="L76" s="5"/>
    </row>
    <row r="77" spans="3:12" ht="21" x14ac:dyDescent="0.25">
      <c r="C77" s="6">
        <v>75</v>
      </c>
      <c r="D77" s="18" t="s">
        <v>123</v>
      </c>
      <c r="E77" s="21">
        <v>1100</v>
      </c>
      <c r="F77" s="21"/>
      <c r="G77" s="35">
        <v>1950</v>
      </c>
      <c r="H77" s="37"/>
      <c r="I77" s="41">
        <f t="shared" si="4"/>
        <v>3050</v>
      </c>
      <c r="J77" s="28"/>
      <c r="K77" s="41"/>
      <c r="L77" s="5"/>
    </row>
    <row r="78" spans="3:12" ht="21" x14ac:dyDescent="0.25">
      <c r="C78" s="6">
        <v>76</v>
      </c>
      <c r="D78" s="17" t="s">
        <v>94</v>
      </c>
      <c r="E78" s="21">
        <v>1100</v>
      </c>
      <c r="F78" s="30"/>
      <c r="G78" s="35">
        <v>1853</v>
      </c>
      <c r="H78" s="37"/>
      <c r="I78" s="41">
        <f t="shared" si="4"/>
        <v>2953</v>
      </c>
      <c r="J78" s="8"/>
      <c r="K78" s="41"/>
      <c r="L78" s="5"/>
    </row>
    <row r="79" spans="3:12" ht="21" x14ac:dyDescent="0.25">
      <c r="C79" s="11">
        <v>77</v>
      </c>
      <c r="D79" s="26" t="s">
        <v>44</v>
      </c>
      <c r="E79" s="21">
        <v>1100</v>
      </c>
      <c r="F79" s="21"/>
      <c r="G79" s="35">
        <v>546</v>
      </c>
      <c r="H79" s="37"/>
      <c r="I79" s="37">
        <f t="shared" si="4"/>
        <v>1646</v>
      </c>
      <c r="J79" s="28"/>
      <c r="K79" s="41"/>
      <c r="L79" s="5" t="s">
        <v>134</v>
      </c>
    </row>
    <row r="80" spans="3:12" ht="21" x14ac:dyDescent="0.25">
      <c r="C80" s="11">
        <v>78</v>
      </c>
      <c r="D80" s="43" t="s">
        <v>86</v>
      </c>
      <c r="E80" s="21">
        <v>1100</v>
      </c>
      <c r="F80" s="36"/>
      <c r="G80" s="37">
        <v>2471</v>
      </c>
      <c r="H80" s="37"/>
      <c r="I80" s="41">
        <f t="shared" si="4"/>
        <v>3571</v>
      </c>
      <c r="J80" s="36"/>
      <c r="K80" s="41"/>
      <c r="L80" s="5"/>
    </row>
    <row r="81" spans="3:12" ht="21" x14ac:dyDescent="0.25">
      <c r="C81" s="11">
        <v>79</v>
      </c>
      <c r="D81" s="17" t="s">
        <v>45</v>
      </c>
      <c r="E81" s="21">
        <v>1100</v>
      </c>
      <c r="F81" s="21"/>
      <c r="G81" s="37">
        <v>2720</v>
      </c>
      <c r="H81" s="37"/>
      <c r="I81" s="41">
        <f t="shared" si="4"/>
        <v>3820</v>
      </c>
      <c r="J81" s="28"/>
      <c r="K81" s="41"/>
      <c r="L81" s="5"/>
    </row>
    <row r="82" spans="3:12" ht="21" x14ac:dyDescent="0.25">
      <c r="C82" s="6">
        <v>80</v>
      </c>
      <c r="D82" s="44" t="s">
        <v>73</v>
      </c>
      <c r="E82" s="21">
        <v>1100</v>
      </c>
      <c r="F82" s="21"/>
      <c r="G82" s="37">
        <v>2720</v>
      </c>
      <c r="H82" s="37"/>
      <c r="I82" s="41">
        <f t="shared" si="4"/>
        <v>3820</v>
      </c>
      <c r="J82" s="28"/>
      <c r="K82" s="41"/>
      <c r="L82" s="5"/>
    </row>
    <row r="83" spans="3:12" ht="21" x14ac:dyDescent="0.25">
      <c r="C83" s="6">
        <v>81</v>
      </c>
      <c r="D83" s="43" t="s">
        <v>87</v>
      </c>
      <c r="E83" s="21">
        <v>1100</v>
      </c>
      <c r="F83" s="36"/>
      <c r="G83" s="37">
        <v>1970</v>
      </c>
      <c r="H83" s="37"/>
      <c r="I83" s="41">
        <f t="shared" si="4"/>
        <v>3070</v>
      </c>
      <c r="J83" s="36"/>
      <c r="K83" s="41"/>
      <c r="L83" s="5"/>
    </row>
    <row r="84" spans="3:12" ht="21" x14ac:dyDescent="0.25">
      <c r="C84" s="11">
        <v>82</v>
      </c>
      <c r="D84" s="18" t="s">
        <v>46</v>
      </c>
      <c r="E84" s="21">
        <v>1100</v>
      </c>
      <c r="F84" s="21"/>
      <c r="G84" s="35">
        <v>3319</v>
      </c>
      <c r="H84" s="37"/>
      <c r="I84" s="37">
        <f t="shared" si="4"/>
        <v>4419</v>
      </c>
      <c r="J84" s="28"/>
      <c r="K84" s="41"/>
      <c r="L84" s="5"/>
    </row>
    <row r="85" spans="3:12" ht="21" x14ac:dyDescent="0.25">
      <c r="C85" s="11">
        <v>83</v>
      </c>
      <c r="D85" s="26" t="s">
        <v>124</v>
      </c>
      <c r="E85" s="33">
        <v>1100</v>
      </c>
      <c r="F85" s="14"/>
      <c r="G85" s="71">
        <v>1960</v>
      </c>
      <c r="H85" s="37"/>
      <c r="I85" s="41">
        <f t="shared" si="4"/>
        <v>3060</v>
      </c>
      <c r="J85" s="28"/>
      <c r="K85" s="41"/>
      <c r="L85" s="5"/>
    </row>
    <row r="86" spans="3:12" ht="21" x14ac:dyDescent="0.25">
      <c r="C86" s="11">
        <v>84</v>
      </c>
      <c r="D86" s="17" t="s">
        <v>47</v>
      </c>
      <c r="E86" s="21">
        <v>1100</v>
      </c>
      <c r="F86" s="21"/>
      <c r="G86" s="71">
        <v>2463</v>
      </c>
      <c r="H86" s="37"/>
      <c r="I86" s="41">
        <f t="shared" si="4"/>
        <v>3563</v>
      </c>
      <c r="J86" s="28"/>
      <c r="K86" s="41"/>
      <c r="L86" s="5"/>
    </row>
    <row r="87" spans="3:12" ht="21" x14ac:dyDescent="0.25">
      <c r="C87" s="6">
        <v>85</v>
      </c>
      <c r="D87" s="17" t="s">
        <v>125</v>
      </c>
      <c r="E87" s="21">
        <v>1100</v>
      </c>
      <c r="F87" s="21"/>
      <c r="G87" s="71">
        <v>1948</v>
      </c>
      <c r="H87" s="37"/>
      <c r="I87" s="41">
        <f t="shared" si="4"/>
        <v>3048</v>
      </c>
      <c r="J87" s="28"/>
      <c r="K87" s="41"/>
      <c r="L87" s="5"/>
    </row>
    <row r="88" spans="3:12" ht="21" x14ac:dyDescent="0.25">
      <c r="C88" s="6">
        <v>86</v>
      </c>
      <c r="D88" s="43" t="s">
        <v>88</v>
      </c>
      <c r="E88" s="21">
        <v>1100</v>
      </c>
      <c r="F88" s="36"/>
      <c r="G88" s="71">
        <v>2481</v>
      </c>
      <c r="H88" s="37"/>
      <c r="I88" s="41">
        <f t="shared" si="4"/>
        <v>3581</v>
      </c>
      <c r="J88" s="36"/>
      <c r="K88" s="41"/>
      <c r="L88" s="5"/>
    </row>
    <row r="89" spans="3:12" ht="21" x14ac:dyDescent="0.25">
      <c r="C89" s="11">
        <v>87</v>
      </c>
      <c r="D89" s="26" t="s">
        <v>126</v>
      </c>
      <c r="E89" s="33">
        <v>1100</v>
      </c>
      <c r="F89" s="14"/>
      <c r="G89" s="71">
        <v>1843</v>
      </c>
      <c r="H89" s="37"/>
      <c r="I89" s="41">
        <f t="shared" si="4"/>
        <v>2943</v>
      </c>
      <c r="J89" s="28"/>
      <c r="K89" s="41"/>
      <c r="L89" s="5"/>
    </row>
    <row r="90" spans="3:12" ht="21" x14ac:dyDescent="0.25">
      <c r="C90" s="11">
        <v>88</v>
      </c>
      <c r="D90" s="17" t="s">
        <v>48</v>
      </c>
      <c r="E90" s="21">
        <v>1100</v>
      </c>
      <c r="F90" s="21"/>
      <c r="G90" s="71">
        <v>2720</v>
      </c>
      <c r="H90" s="37"/>
      <c r="I90" s="41">
        <f t="shared" si="4"/>
        <v>3820</v>
      </c>
      <c r="J90" s="28"/>
      <c r="K90" s="41"/>
      <c r="L90" s="5"/>
    </row>
    <row r="91" spans="3:12" ht="21" x14ac:dyDescent="0.25">
      <c r="C91" s="11">
        <v>89</v>
      </c>
      <c r="D91" s="17" t="s">
        <v>49</v>
      </c>
      <c r="E91" s="21">
        <v>1100</v>
      </c>
      <c r="F91" s="21"/>
      <c r="G91" s="71">
        <v>1230</v>
      </c>
      <c r="H91" s="37"/>
      <c r="I91" s="41">
        <f t="shared" si="4"/>
        <v>2330</v>
      </c>
      <c r="J91" s="28"/>
      <c r="K91" s="41"/>
      <c r="L91" s="5" t="s">
        <v>133</v>
      </c>
    </row>
    <row r="92" spans="3:12" ht="21" x14ac:dyDescent="0.25">
      <c r="C92" s="6">
        <v>90</v>
      </c>
      <c r="D92" s="44" t="s">
        <v>74</v>
      </c>
      <c r="E92" s="21">
        <v>1100</v>
      </c>
      <c r="F92" s="21"/>
      <c r="G92" s="71">
        <v>3232</v>
      </c>
      <c r="H92" s="37"/>
      <c r="I92" s="41">
        <f t="shared" si="4"/>
        <v>4332</v>
      </c>
      <c r="J92" s="28"/>
      <c r="K92" s="41"/>
      <c r="L92" s="5"/>
    </row>
    <row r="93" spans="3:12" ht="21" x14ac:dyDescent="0.25">
      <c r="C93" s="6">
        <v>91</v>
      </c>
      <c r="D93" s="17" t="s">
        <v>127</v>
      </c>
      <c r="E93" s="21">
        <v>1100</v>
      </c>
      <c r="F93" s="21"/>
      <c r="G93" s="71">
        <v>1954</v>
      </c>
      <c r="H93" s="37"/>
      <c r="I93" s="41">
        <f t="shared" si="4"/>
        <v>3054</v>
      </c>
      <c r="J93" s="28"/>
      <c r="K93" s="41"/>
      <c r="L93" s="5"/>
    </row>
    <row r="94" spans="3:12" ht="21" x14ac:dyDescent="0.25">
      <c r="C94" s="11">
        <v>92</v>
      </c>
      <c r="D94" s="43" t="s">
        <v>89</v>
      </c>
      <c r="E94" s="21">
        <v>1100</v>
      </c>
      <c r="F94" s="36"/>
      <c r="G94" s="71">
        <v>2481</v>
      </c>
      <c r="H94" s="37"/>
      <c r="I94" s="41">
        <f t="shared" si="4"/>
        <v>3581</v>
      </c>
      <c r="J94" s="36"/>
      <c r="K94" s="41"/>
      <c r="L94" s="5"/>
    </row>
    <row r="95" spans="3:12" ht="21" x14ac:dyDescent="0.25">
      <c r="C95" s="11">
        <v>93</v>
      </c>
      <c r="D95" s="26" t="s">
        <v>102</v>
      </c>
      <c r="E95" s="21">
        <v>1100</v>
      </c>
      <c r="F95" s="21"/>
      <c r="G95" s="35">
        <v>2576</v>
      </c>
      <c r="H95" s="37"/>
      <c r="I95" s="37">
        <f t="shared" si="4"/>
        <v>3676</v>
      </c>
      <c r="J95" s="28"/>
      <c r="K95" s="37"/>
      <c r="L95" s="5"/>
    </row>
    <row r="96" spans="3:12" ht="21" x14ac:dyDescent="0.25">
      <c r="C96" s="11">
        <v>94</v>
      </c>
      <c r="D96" s="17" t="s">
        <v>50</v>
      </c>
      <c r="E96" s="21">
        <v>1100</v>
      </c>
      <c r="F96" s="21"/>
      <c r="G96" s="71">
        <v>2463</v>
      </c>
      <c r="H96" s="37"/>
      <c r="I96" s="41">
        <f t="shared" si="4"/>
        <v>3563</v>
      </c>
      <c r="J96" s="28"/>
      <c r="K96" s="41"/>
      <c r="L96" s="5"/>
    </row>
    <row r="97" spans="3:12" ht="21" x14ac:dyDescent="0.25">
      <c r="C97" s="6">
        <v>95</v>
      </c>
      <c r="D97" s="17" t="s">
        <v>51</v>
      </c>
      <c r="E97" s="21">
        <v>1100</v>
      </c>
      <c r="F97" s="21"/>
      <c r="G97" s="71">
        <v>4538</v>
      </c>
      <c r="H97" s="37"/>
      <c r="I97" s="41">
        <f t="shared" si="4"/>
        <v>5638</v>
      </c>
      <c r="J97" s="28"/>
      <c r="K97" s="41"/>
      <c r="L97" s="5"/>
    </row>
    <row r="98" spans="3:12" ht="21" x14ac:dyDescent="0.25">
      <c r="C98" s="6">
        <v>96</v>
      </c>
      <c r="D98" s="17" t="s">
        <v>128</v>
      </c>
      <c r="E98" s="21">
        <v>1100</v>
      </c>
      <c r="F98" s="21"/>
      <c r="G98" s="71">
        <v>1948</v>
      </c>
      <c r="H98" s="37"/>
      <c r="I98" s="41">
        <f t="shared" si="4"/>
        <v>3048</v>
      </c>
      <c r="J98" s="28"/>
      <c r="K98" s="41"/>
      <c r="L98" s="5"/>
    </row>
    <row r="99" spans="3:12" ht="21" x14ac:dyDescent="0.25">
      <c r="C99" s="11">
        <v>97</v>
      </c>
      <c r="D99" s="25" t="s">
        <v>104</v>
      </c>
      <c r="E99" s="21">
        <v>1100</v>
      </c>
      <c r="F99" s="21"/>
      <c r="G99" s="71">
        <v>1948</v>
      </c>
      <c r="H99" s="37"/>
      <c r="I99" s="41">
        <f t="shared" si="4"/>
        <v>3048</v>
      </c>
      <c r="J99" s="28"/>
      <c r="K99" s="41"/>
      <c r="L99" s="5"/>
    </row>
    <row r="100" spans="3:12" ht="21" x14ac:dyDescent="0.25">
      <c r="C100" s="11">
        <v>98</v>
      </c>
      <c r="D100" s="26" t="s">
        <v>131</v>
      </c>
      <c r="E100" s="21">
        <v>250</v>
      </c>
      <c r="F100" s="21"/>
      <c r="G100" s="35">
        <v>1862</v>
      </c>
      <c r="H100" s="37"/>
      <c r="I100" s="37">
        <f t="shared" si="4"/>
        <v>2112</v>
      </c>
      <c r="J100" s="28"/>
      <c r="K100" s="37"/>
      <c r="L100" s="5"/>
    </row>
    <row r="101" spans="3:12" ht="21" x14ac:dyDescent="0.25">
      <c r="C101" s="11">
        <v>99</v>
      </c>
      <c r="D101" s="25" t="s">
        <v>13</v>
      </c>
      <c r="E101" s="21">
        <v>1100</v>
      </c>
      <c r="F101" s="21"/>
      <c r="G101" s="71">
        <v>2454</v>
      </c>
      <c r="H101" s="37"/>
      <c r="I101" s="41">
        <f t="shared" si="4"/>
        <v>3554</v>
      </c>
      <c r="J101" s="28"/>
      <c r="K101" s="41"/>
      <c r="L101" s="5"/>
    </row>
    <row r="102" spans="3:12" ht="21" x14ac:dyDescent="0.25">
      <c r="C102" s="6">
        <v>100</v>
      </c>
      <c r="D102" s="43" t="s">
        <v>90</v>
      </c>
      <c r="E102" s="21">
        <v>1100</v>
      </c>
      <c r="F102" s="36"/>
      <c r="G102" s="71">
        <v>2731</v>
      </c>
      <c r="H102" s="37"/>
      <c r="I102" s="41">
        <f t="shared" si="4"/>
        <v>3831</v>
      </c>
      <c r="J102" s="36"/>
      <c r="K102" s="41"/>
      <c r="L102" s="5"/>
    </row>
    <row r="103" spans="3:12" ht="21" x14ac:dyDescent="0.25">
      <c r="C103" s="6">
        <v>101</v>
      </c>
      <c r="D103" s="26" t="s">
        <v>99</v>
      </c>
      <c r="E103" s="21">
        <v>600</v>
      </c>
      <c r="F103" s="21"/>
      <c r="G103" s="35">
        <v>2611</v>
      </c>
      <c r="H103" s="37">
        <f>I103-G103-E103</f>
        <v>520</v>
      </c>
      <c r="I103" s="37">
        <v>3731</v>
      </c>
      <c r="J103" s="37"/>
      <c r="K103" s="41"/>
      <c r="L103" s="61" t="s">
        <v>129</v>
      </c>
    </row>
    <row r="104" spans="3:12" ht="21" x14ac:dyDescent="0.25">
      <c r="C104" s="11">
        <v>102</v>
      </c>
      <c r="D104" s="25" t="s">
        <v>100</v>
      </c>
      <c r="E104" s="21">
        <v>0</v>
      </c>
      <c r="F104" s="21"/>
      <c r="G104" s="35">
        <v>2246</v>
      </c>
      <c r="H104" s="37">
        <v>0</v>
      </c>
      <c r="I104" s="37">
        <f>SUM(E104:H104)</f>
        <v>2246</v>
      </c>
      <c r="J104" s="28"/>
      <c r="K104" s="37"/>
      <c r="L104" s="5" t="s">
        <v>135</v>
      </c>
    </row>
    <row r="105" spans="3:12" ht="21" x14ac:dyDescent="0.25">
      <c r="C105" s="11">
        <v>103</v>
      </c>
      <c r="D105" s="18" t="s">
        <v>5</v>
      </c>
      <c r="E105" s="23">
        <v>1360</v>
      </c>
      <c r="F105" s="15">
        <v>900</v>
      </c>
      <c r="G105" s="72">
        <v>1088</v>
      </c>
      <c r="H105" s="37">
        <f>I105-G105-F105-E105</f>
        <v>920</v>
      </c>
      <c r="I105" s="37">
        <v>4268</v>
      </c>
      <c r="J105" s="37"/>
      <c r="K105" s="37"/>
      <c r="L105" s="5"/>
    </row>
    <row r="106" spans="3:12" ht="21" x14ac:dyDescent="0.25">
      <c r="C106" s="11">
        <v>104</v>
      </c>
      <c r="D106" s="44" t="s">
        <v>75</v>
      </c>
      <c r="E106" s="21">
        <v>1100</v>
      </c>
      <c r="F106" s="21"/>
      <c r="G106" s="35">
        <v>2709</v>
      </c>
      <c r="H106" s="37"/>
      <c r="I106" s="41">
        <f t="shared" ref="I106:I113" si="5">SUM(E106:H106)</f>
        <v>3809</v>
      </c>
      <c r="J106" s="28"/>
      <c r="K106" s="37"/>
      <c r="L106" s="5"/>
    </row>
    <row r="107" spans="3:12" ht="21" x14ac:dyDescent="0.25">
      <c r="C107" s="6">
        <v>105</v>
      </c>
      <c r="D107" s="17" t="s">
        <v>52</v>
      </c>
      <c r="E107" s="21">
        <v>1100</v>
      </c>
      <c r="F107" s="21"/>
      <c r="G107" s="35">
        <v>2592</v>
      </c>
      <c r="H107" s="37"/>
      <c r="I107" s="41">
        <f t="shared" si="5"/>
        <v>3692</v>
      </c>
      <c r="J107" s="28"/>
      <c r="K107" s="37"/>
      <c r="L107" s="5"/>
    </row>
    <row r="108" spans="3:12" ht="21" x14ac:dyDescent="0.25">
      <c r="C108" s="6">
        <v>106</v>
      </c>
      <c r="D108" s="26" t="s">
        <v>58</v>
      </c>
      <c r="E108" s="33">
        <v>1100</v>
      </c>
      <c r="F108" s="14"/>
      <c r="G108" s="71">
        <v>2463</v>
      </c>
      <c r="H108" s="37"/>
      <c r="I108" s="41">
        <f t="shared" si="5"/>
        <v>3563</v>
      </c>
      <c r="J108" s="28"/>
      <c r="K108" s="37"/>
      <c r="L108" s="5"/>
    </row>
    <row r="109" spans="3:12" ht="21" x14ac:dyDescent="0.25">
      <c r="C109" s="11">
        <v>107</v>
      </c>
      <c r="D109" s="17" t="s">
        <v>76</v>
      </c>
      <c r="E109" s="21">
        <v>1100</v>
      </c>
      <c r="F109" s="30"/>
      <c r="G109" s="71">
        <v>2740</v>
      </c>
      <c r="H109" s="37"/>
      <c r="I109" s="41">
        <f t="shared" si="5"/>
        <v>3840</v>
      </c>
      <c r="J109" s="35"/>
      <c r="K109" s="37"/>
      <c r="L109" s="5"/>
    </row>
    <row r="110" spans="3:12" ht="21" x14ac:dyDescent="0.25">
      <c r="C110" s="11">
        <v>108</v>
      </c>
      <c r="D110" s="26" t="s">
        <v>19</v>
      </c>
      <c r="E110" s="21">
        <v>1100</v>
      </c>
      <c r="F110" s="21"/>
      <c r="G110" s="71">
        <v>3225</v>
      </c>
      <c r="H110" s="37"/>
      <c r="I110" s="41">
        <f t="shared" si="5"/>
        <v>4325</v>
      </c>
      <c r="J110" s="28"/>
      <c r="K110" s="35"/>
      <c r="L110" s="5"/>
    </row>
    <row r="111" spans="3:12" ht="21" x14ac:dyDescent="0.25">
      <c r="C111" s="11">
        <v>109</v>
      </c>
      <c r="D111" s="17" t="s">
        <v>53</v>
      </c>
      <c r="E111" s="21">
        <v>1100</v>
      </c>
      <c r="F111" s="21"/>
      <c r="G111" s="71">
        <v>2463</v>
      </c>
      <c r="H111" s="37"/>
      <c r="I111" s="41">
        <f t="shared" si="5"/>
        <v>3563</v>
      </c>
      <c r="J111" s="28"/>
      <c r="K111" s="41"/>
      <c r="L111" s="5"/>
    </row>
    <row r="112" spans="3:12" ht="21" x14ac:dyDescent="0.25">
      <c r="C112" s="6">
        <v>110</v>
      </c>
      <c r="D112" s="26" t="s">
        <v>54</v>
      </c>
      <c r="E112" s="21">
        <v>1100</v>
      </c>
      <c r="F112" s="21"/>
      <c r="G112" s="71">
        <v>2963</v>
      </c>
      <c r="H112" s="37"/>
      <c r="I112" s="41">
        <f t="shared" si="5"/>
        <v>4063</v>
      </c>
      <c r="J112" s="28"/>
      <c r="K112" s="37"/>
      <c r="L112" s="5"/>
    </row>
    <row r="113" spans="3:12" ht="21" x14ac:dyDescent="0.25">
      <c r="C113" s="6">
        <v>111</v>
      </c>
      <c r="D113" s="26" t="s">
        <v>103</v>
      </c>
      <c r="E113" s="33">
        <v>1100</v>
      </c>
      <c r="F113" s="14"/>
      <c r="G113" s="71">
        <v>1843</v>
      </c>
      <c r="H113" s="37"/>
      <c r="I113" s="41">
        <f t="shared" si="5"/>
        <v>2943</v>
      </c>
      <c r="J113" s="28"/>
      <c r="K113" s="37"/>
      <c r="L113" s="5"/>
    </row>
    <row r="114" spans="3:12" ht="21" x14ac:dyDescent="0.25">
      <c r="C114" s="11">
        <v>112</v>
      </c>
      <c r="D114" s="18" t="s">
        <v>18</v>
      </c>
      <c r="E114" s="23">
        <v>3000</v>
      </c>
      <c r="F114" s="15"/>
      <c r="G114" s="72">
        <v>3314</v>
      </c>
      <c r="H114" s="37">
        <f>I114-G114-E114</f>
        <v>720</v>
      </c>
      <c r="I114" s="37">
        <v>7034</v>
      </c>
      <c r="J114" s="28"/>
      <c r="K114" s="37"/>
      <c r="L114" s="5"/>
    </row>
    <row r="115" spans="3:12" ht="21" x14ac:dyDescent="0.25">
      <c r="C115" s="11">
        <v>113</v>
      </c>
      <c r="D115" s="43" t="s">
        <v>91</v>
      </c>
      <c r="E115" s="21">
        <v>1100</v>
      </c>
      <c r="F115" s="36"/>
      <c r="G115" s="37">
        <v>1982</v>
      </c>
      <c r="H115" s="37"/>
      <c r="I115" s="41">
        <f>SUM(E115:H115)</f>
        <v>3082</v>
      </c>
      <c r="J115" s="36"/>
      <c r="K115" s="37"/>
      <c r="L115" s="5"/>
    </row>
    <row r="116" spans="3:12" ht="21" x14ac:dyDescent="0.25">
      <c r="C116" s="11">
        <v>114</v>
      </c>
      <c r="D116" s="25" t="s">
        <v>10</v>
      </c>
      <c r="E116" s="21">
        <v>1100</v>
      </c>
      <c r="F116" s="21"/>
      <c r="G116" s="37">
        <v>2720</v>
      </c>
      <c r="H116" s="37"/>
      <c r="I116" s="41">
        <f>SUM(E116:H116)</f>
        <v>3820</v>
      </c>
      <c r="J116" s="28"/>
      <c r="K116" s="79"/>
      <c r="L116" s="5"/>
    </row>
    <row r="117" spans="3:12" ht="21" x14ac:dyDescent="0.25">
      <c r="C117" s="6">
        <v>115</v>
      </c>
      <c r="D117" s="25" t="s">
        <v>14</v>
      </c>
      <c r="E117" s="21">
        <v>1100</v>
      </c>
      <c r="F117" s="21"/>
      <c r="G117" s="37">
        <v>2463</v>
      </c>
      <c r="H117" s="37"/>
      <c r="I117" s="41">
        <f>SUM(E117:H117)</f>
        <v>3563</v>
      </c>
      <c r="J117" s="28"/>
      <c r="K117" s="37"/>
      <c r="L117" s="5"/>
    </row>
    <row r="118" spans="3:12" ht="21" x14ac:dyDescent="0.25">
      <c r="C118" s="6">
        <v>116</v>
      </c>
      <c r="D118" s="20" t="s">
        <v>132</v>
      </c>
      <c r="E118" s="21">
        <v>0</v>
      </c>
      <c r="F118" s="21"/>
      <c r="G118" s="35">
        <v>2343</v>
      </c>
      <c r="H118" s="37"/>
      <c r="I118" s="37">
        <f>SUM(E118:H118)</f>
        <v>2343</v>
      </c>
      <c r="J118" s="28"/>
      <c r="K118" s="37"/>
      <c r="L118" s="5"/>
    </row>
    <row r="119" spans="3:12" ht="23" x14ac:dyDescent="0.25">
      <c r="D119" s="62"/>
      <c r="E119" s="13"/>
      <c r="F119" s="13"/>
      <c r="G119" s="40"/>
      <c r="J119" s="12"/>
      <c r="K119" s="63"/>
      <c r="L119" s="5"/>
    </row>
    <row r="120" spans="3:12" x14ac:dyDescent="0.2">
      <c r="D120" s="62"/>
      <c r="E120" s="13"/>
      <c r="F120" s="13"/>
      <c r="G120" s="40"/>
      <c r="J120" s="12"/>
      <c r="K120" s="5"/>
      <c r="L120" s="5"/>
    </row>
  </sheetData>
  <mergeCells count="1">
    <mergeCell ref="E1:I1"/>
  </mergeCells>
  <phoneticPr fontId="10" type="noConversion"/>
  <pageMargins left="0.25" right="0.25" top="0.75" bottom="0.75" header="0.3" footer="0.3"/>
  <pageSetup paperSize="9" scale="45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EEE3-6AC7-0F4A-8478-ADC45FBE1156}">
  <dimension ref="B1:AS6"/>
  <sheetViews>
    <sheetView topLeftCell="B1" workbookViewId="0">
      <selection activeCell="F26" sqref="F26"/>
    </sheetView>
  </sheetViews>
  <sheetFormatPr baseColWidth="10" defaultRowHeight="20" x14ac:dyDescent="0.2"/>
  <cols>
    <col min="1" max="1" width="0" style="1" hidden="1" customWidth="1"/>
    <col min="2" max="2" width="4.83203125" style="2" customWidth="1"/>
    <col min="3" max="3" width="4.33203125" style="4" customWidth="1"/>
    <col min="4" max="4" width="106.33203125" style="19" customWidth="1"/>
    <col min="5" max="5" width="12" style="10" customWidth="1"/>
    <col min="6" max="6" width="10.33203125" style="10" customWidth="1"/>
    <col min="7" max="7" width="12.6640625" style="10" customWidth="1"/>
    <col min="8" max="8" width="11.83203125" style="40" customWidth="1"/>
    <col min="9" max="9" width="13.6640625" style="40" customWidth="1"/>
    <col min="10" max="10" width="11.6640625" style="40" customWidth="1"/>
    <col min="11" max="11" width="10.83203125" style="12"/>
    <col min="12" max="12" width="14" style="3" customWidth="1"/>
    <col min="13" max="13" width="9.83203125" style="5" customWidth="1"/>
    <col min="14" max="14" width="10.5" style="5" customWidth="1"/>
    <col min="15" max="15" width="11.6640625" style="5" customWidth="1"/>
    <col min="16" max="16" width="8.6640625" style="5" customWidth="1"/>
    <col min="17" max="17" width="9.83203125" style="13" customWidth="1"/>
    <col min="18" max="45" width="10.83203125" style="2"/>
    <col min="46" max="16384" width="10.83203125" style="1"/>
  </cols>
  <sheetData>
    <row r="1" spans="4:11" x14ac:dyDescent="0.2">
      <c r="E1" s="29"/>
      <c r="F1" s="38"/>
      <c r="G1" s="38"/>
      <c r="H1" s="38"/>
      <c r="I1" s="38"/>
      <c r="J1" s="38"/>
      <c r="K1" s="32"/>
    </row>
    <row r="2" spans="4:11" ht="60" x14ac:dyDescent="0.25">
      <c r="D2" s="75" t="s">
        <v>62</v>
      </c>
      <c r="E2" s="49"/>
      <c r="F2" s="50" t="s">
        <v>66</v>
      </c>
      <c r="G2" s="51" t="s">
        <v>136</v>
      </c>
      <c r="H2" s="52"/>
      <c r="I2" s="47" t="s">
        <v>59</v>
      </c>
      <c r="J2" s="48" t="s">
        <v>97</v>
      </c>
      <c r="K2" s="22" t="s">
        <v>7</v>
      </c>
    </row>
    <row r="3" spans="4:11" ht="21" x14ac:dyDescent="0.25">
      <c r="D3" s="18" t="s">
        <v>63</v>
      </c>
      <c r="E3" s="14">
        <v>1800</v>
      </c>
      <c r="F3" s="14">
        <v>534</v>
      </c>
      <c r="G3" s="14">
        <f>E3-F3</f>
        <v>1266</v>
      </c>
      <c r="H3" s="37"/>
      <c r="I3" s="41">
        <v>2741</v>
      </c>
      <c r="J3" s="37">
        <f>K3-I3-F3</f>
        <v>760</v>
      </c>
      <c r="K3" s="28">
        <v>4035</v>
      </c>
    </row>
    <row r="4" spans="4:11" ht="21" x14ac:dyDescent="0.25">
      <c r="D4" s="18" t="s">
        <v>64</v>
      </c>
      <c r="E4" s="15">
        <v>1660</v>
      </c>
      <c r="F4" s="15">
        <v>394</v>
      </c>
      <c r="G4" s="14">
        <f t="shared" ref="G4:G5" si="0">E4-F4</f>
        <v>1266</v>
      </c>
      <c r="H4" s="37"/>
      <c r="I4" s="41">
        <v>2249</v>
      </c>
      <c r="J4" s="37">
        <f>K4-I4-F4</f>
        <v>760</v>
      </c>
      <c r="K4" s="28">
        <v>3403</v>
      </c>
    </row>
    <row r="5" spans="4:11" ht="21" x14ac:dyDescent="0.25">
      <c r="D5" s="24" t="s">
        <v>65</v>
      </c>
      <c r="E5" s="21">
        <v>1500</v>
      </c>
      <c r="F5" s="21">
        <v>234</v>
      </c>
      <c r="G5" s="14">
        <f t="shared" si="0"/>
        <v>1266</v>
      </c>
      <c r="H5" s="37"/>
      <c r="I5" s="41">
        <v>3546</v>
      </c>
      <c r="J5" s="37">
        <f>K5-I5-F5</f>
        <v>920</v>
      </c>
      <c r="K5" s="28">
        <v>4700</v>
      </c>
    </row>
    <row r="6" spans="4:11" ht="21" x14ac:dyDescent="0.25">
      <c r="D6" s="24"/>
      <c r="E6" s="21"/>
      <c r="F6" s="21"/>
      <c r="G6" s="14"/>
      <c r="H6" s="37"/>
      <c r="I6" s="41"/>
      <c r="J6" s="68"/>
      <c r="K6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VB-ROM</vt:lpstr>
      <vt:lpstr>XMEG</vt:lpstr>
      <vt:lpstr>'VB-ROM'!Print_Area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Raul Tarnaru</cp:lastModifiedBy>
  <cp:lastPrinted>2026-08-05T10:53:58Z</cp:lastPrinted>
  <dcterms:created xsi:type="dcterms:W3CDTF">2022-08-23T05:53:13Z</dcterms:created>
  <dcterms:modified xsi:type="dcterms:W3CDTF">2026-09-02T12:27:23Z</dcterms:modified>
</cp:coreProperties>
</file>